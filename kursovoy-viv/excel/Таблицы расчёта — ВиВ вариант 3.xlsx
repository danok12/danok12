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Kursovoy\.claude\worktrees\kursovoy-viv-variant-3-388c78\kursovoy-viv\excel\"/>
    </mc:Choice>
  </mc:AlternateContent>
  <xr:revisionPtr revIDLastSave="0" documentId="13_ncr:1_{4A533BB1-C81D-43FA-8640-E62267A6825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Содержание" sheetId="1" r:id="rId1"/>
    <sheet name="1.1 Исходные" sheetId="2" r:id="rId2"/>
    <sheet name="1.2 Нормы" sheetId="3" r:id="rId3"/>
    <sheet name="1.3 Расходы" sheetId="4" r:id="rId4"/>
    <sheet name="1.4 Гидравлика В1" sheetId="5" r:id="rId5"/>
    <sheet name="1.5 Ввод" sheetId="6" r:id="rId6"/>
    <sheet name="1.6 Счётчики" sheetId="7" r:id="rId7"/>
    <sheet name="1.7 Напор" sheetId="8" r:id="rId8"/>
    <sheet name="1.8 Насос" sheetId="9" r:id="rId9"/>
    <sheet name="2.1 Стояки К1" sheetId="10" r:id="rId10"/>
    <sheet name="2.2 Горизонт. К1" sheetId="11" r:id="rId11"/>
    <sheet name="2.3 Отметки" sheetId="12" r:id="rId12"/>
    <sheet name="Табл. Б.2" sheetId="13" r:id="rId13"/>
  </sheets>
  <definedNames>
    <definedName name="A_C">'1.3 Расходы'!$C$17</definedName>
    <definedName name="A_TOT">'1.3 Расходы'!$C$14</definedName>
    <definedName name="AHR_C">'1.3 Расходы'!$C$23</definedName>
    <definedName name="AHR_TOT">'1.3 Расходы'!$C$20</definedName>
    <definedName name="B2_A">'Табл. Б.2'!$B$2:$B$582</definedName>
    <definedName name="B2_NP">'Табл. Б.2'!$A$2:$A$582</definedName>
    <definedName name="D_GOR_K">'1.1 Исходные'!$C$14</definedName>
    <definedName name="D_GOR_V">'1.1 Исходные'!$C$13</definedName>
    <definedName name="DH_POL">'1.1 Исходные'!$C$9</definedName>
    <definedName name="H_ET">'1.1 Исходные'!$C$6</definedName>
    <definedName name="H_GAR">'1.1 Исходные'!$C$12</definedName>
    <definedName name="H_GEOM">'1.7 Напор'!$C$6</definedName>
    <definedName name="H_PODVAL">'1.1 Исходные'!$C$8</definedName>
    <definedName name="H_PROMERZ">'1.1 Исходные'!$C$11</definedName>
    <definedName name="H_RAB">'1.7 Напор'!$C$12</definedName>
    <definedName name="H_SCH">'1.6 Счётчики'!$F$6</definedName>
    <definedName name="H_SCH_">'1.7 Напор'!$C$9</definedName>
    <definedName name="H_SUMH">'1.7 Напор'!$C$7</definedName>
    <definedName name="H_SV">'1.1 Исходные'!$C$18</definedName>
    <definedName name="H_SV_">'1.7 Напор'!$C$8</definedName>
    <definedName name="H_TR">'1.7 Напор'!$C$11</definedName>
    <definedName name="H_VVOD">'1.5 Ввод'!$B$21</definedName>
    <definedName name="H_VVOD_">'1.7 Напор'!$C$10</definedName>
    <definedName name="H0_MIN">'2.3 Отметки'!$C$12</definedName>
    <definedName name="K_L">'1.1 Исходные'!$C$17</definedName>
    <definedName name="K1_I_0">'2.2 Горизонт. К1'!$J$4</definedName>
    <definedName name="K1_I_1">'2.2 Горизонт. К1'!$J$5</definedName>
    <definedName name="K1_I_2">'2.2 Горизонт. К1'!$J$6</definedName>
    <definedName name="K1_I_3">'2.2 Горизонт. К1'!$J$7</definedName>
    <definedName name="K1_I_4">'2.2 Горизонт. К1'!$J$8</definedName>
    <definedName name="K1_I_5">'2.2 Горизонт. К1'!$J$9</definedName>
    <definedName name="K1_I_6">'2.2 Горизонт. К1'!$J$10</definedName>
    <definedName name="K1_IL_0">'2.2 Горизонт. К1'!$N$4</definedName>
    <definedName name="K1_IL_1">'2.2 Горизонт. К1'!$N$5</definedName>
    <definedName name="K1_IL_2">'2.2 Горизонт. К1'!$N$6</definedName>
    <definedName name="K1_IL_3">'2.2 Горизонт. К1'!$N$7</definedName>
    <definedName name="K1_IL_4">'2.2 Горизонт. К1'!$N$8</definedName>
    <definedName name="K1_IL_5">'2.2 Горизонт. К1'!$N$9</definedName>
    <definedName name="K1_IL_6">'2.2 Горизонт. К1'!$N$10</definedName>
    <definedName name="L_VVOD">'1.1 Исходные'!$C$21</definedName>
    <definedName name="N_">'1.3 Расходы'!$C$6</definedName>
    <definedName name="N_ET">'1.1 Исходные'!$C$4</definedName>
    <definedName name="N_KV">'1.3 Расходы'!$C$4</definedName>
    <definedName name="N_POL">'1.7 Напор'!$C$14</definedName>
    <definedName name="N_PR">'1.1 Исходные'!$C$16</definedName>
    <definedName name="N_SEK">'1.1 Исходные'!$C$5</definedName>
    <definedName name="NKV_SEK">'1.1 Исходные'!$C$15</definedName>
    <definedName name="NP_C">'1.3 Расходы'!$C$16</definedName>
    <definedName name="NP_TOT">'1.3 Расходы'!$C$13</definedName>
    <definedName name="P_C">'1.3 Расходы'!$C$12</definedName>
    <definedName name="P_TOT">'1.3 Расходы'!$C$11</definedName>
    <definedName name="PHR_C">'1.3 Расходы'!$C$22</definedName>
    <definedName name="PHR_TOT">'1.3 Расходы'!$C$19</definedName>
    <definedName name="Q_C">'1.3 Расходы'!$C$18</definedName>
    <definedName name="Q_NAS">'1.7 Напор'!$C$13</definedName>
    <definedName name="Q_TOT">'1.3 Расходы'!$C$15</definedName>
    <definedName name="Q0_C">'1.2 Нормы'!$D$6</definedName>
    <definedName name="Q0_H">'1.2 Нормы'!$C$6</definedName>
    <definedName name="Q0_TOT">'1.2 Нормы'!$B$6</definedName>
    <definedName name="Q0HR_C">'1.2 Нормы'!$D$7</definedName>
    <definedName name="Q0HR_H">'1.2 Нормы'!$C$7</definedName>
    <definedName name="Q0HR_TOT">'1.2 Нормы'!$B$7</definedName>
    <definedName name="QHR_C">'1.2 Нормы'!$D$5</definedName>
    <definedName name="QHR_C_">'1.3 Расходы'!$C$24</definedName>
    <definedName name="QHR_H">'1.2 Нормы'!$C$5</definedName>
    <definedName name="QHR_TOT">'1.2 Нормы'!$B$5</definedName>
    <definedName name="QHR_TOT_">'1.3 Расходы'!$C$21</definedName>
    <definedName name="QSUT_C">'1.3 Расходы'!$C$8</definedName>
    <definedName name="QSUT_TOT">'1.3 Расходы'!$C$7</definedName>
    <definedName name="QT_C">'1.3 Расходы'!$C$10</definedName>
    <definedName name="QT_TOT">'1.3 Расходы'!$C$9</definedName>
    <definedName name="QU_C">'1.2 Нормы'!$D$4</definedName>
    <definedName name="QU_H">'1.2 Нормы'!$C$4</definedName>
    <definedName name="QU_TOT">'1.2 Нормы'!$B$4</definedName>
    <definedName name="SUM_H">'1.4 Гидравлика В1'!$N$24</definedName>
    <definedName name="T_CH_C">'1.2 Нормы'!$D$8</definedName>
    <definedName name="T_CH_H">'1.2 Нормы'!$C$8</definedName>
    <definedName name="T_CH_TOT">'1.2 Нормы'!$B$8</definedName>
    <definedName name="T_PEREKR">'1.1 Исходные'!$C$10</definedName>
    <definedName name="U_">'1.3 Расходы'!$C$5</definedName>
    <definedName name="U_ZAS">'1.1 Исходные'!$C$7</definedName>
    <definedName name="VGP_D">'1.4 Гидравлика В1'!$Q$4:$Q$12</definedName>
    <definedName name="VGP_DN">'1.4 Гидравлика В1'!$P$4:$P$12</definedName>
    <definedName name="VV_D">'1.5 Ввод'!$B$6</definedName>
    <definedName name="VV_DELTA">'1.5 Ввод'!$B$7</definedName>
    <definedName name="VV_DN">'1.5 Ввод'!$B$5</definedName>
    <definedName name="VV_I">'1.5 Ввод'!$B$20</definedName>
    <definedName name="VV_LAM">'1.5 Ввод'!$B$19</definedName>
    <definedName name="VV_NU">'1.5 Ввод'!$B$8</definedName>
    <definedName name="VV_Q">'1.5 Ввод'!$B$4</definedName>
    <definedName name="VV_RE">'1.5 Ввод'!$B$10</definedName>
    <definedName name="VV_V">'1.5 Ввод'!$B$9</definedName>
    <definedName name="Z_DIKT">'1.7 Напор'!$C$5</definedName>
    <definedName name="Z_GOR">'1.7 Напор'!$C$4</definedName>
    <definedName name="Z_PR_DIKT">'1.1 Исходные'!$C$19</definedName>
    <definedName name="Z_ZEML_GVK">'1.1 Исходные'!$C$20</definedName>
    <definedName name="Z0_ABS">'1.1 Исходные'!$C$22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2" i="12" l="1"/>
  <c r="C4" i="12"/>
  <c r="C5" i="12" s="1"/>
  <c r="C6" i="12" s="1"/>
  <c r="N10" i="11"/>
  <c r="M10" i="11"/>
  <c r="N9" i="11"/>
  <c r="M9" i="11"/>
  <c r="N8" i="11"/>
  <c r="M8" i="11"/>
  <c r="N7" i="11"/>
  <c r="M7" i="11"/>
  <c r="N6" i="11"/>
  <c r="M6" i="11"/>
  <c r="N5" i="11"/>
  <c r="M5" i="11"/>
  <c r="N4" i="11"/>
  <c r="M4" i="11"/>
  <c r="B9" i="10"/>
  <c r="B8" i="10"/>
  <c r="B7" i="10"/>
  <c r="B6" i="10"/>
  <c r="B5" i="10"/>
  <c r="B4" i="10"/>
  <c r="C8" i="8"/>
  <c r="C5" i="8"/>
  <c r="C6" i="8" s="1"/>
  <c r="C4" i="8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C4" i="4"/>
  <c r="C6" i="4" s="1"/>
  <c r="D8" i="3"/>
  <c r="D7" i="3"/>
  <c r="D6" i="3"/>
  <c r="D5" i="3"/>
  <c r="D4" i="3"/>
  <c r="C7" i="12" l="1"/>
  <c r="D6" i="12"/>
  <c r="E6" i="12" s="1"/>
  <c r="C5" i="4"/>
  <c r="C12" i="4" s="1"/>
  <c r="C16" i="4" s="1"/>
  <c r="C17" i="4" s="1"/>
  <c r="C18" i="4" s="1"/>
  <c r="B4" i="6" l="1"/>
  <c r="B9" i="6" s="1"/>
  <c r="B10" i="6" s="1"/>
  <c r="C13" i="8"/>
  <c r="E4" i="7"/>
  <c r="F4" i="7" s="1"/>
  <c r="C11" i="4"/>
  <c r="C7" i="4"/>
  <c r="C9" i="4" s="1"/>
  <c r="C8" i="4"/>
  <c r="C10" i="4" s="1"/>
  <c r="H4" i="7" s="1"/>
  <c r="E17" i="5"/>
  <c r="F17" i="5" s="1"/>
  <c r="G17" i="5" s="1"/>
  <c r="H17" i="5" s="1"/>
  <c r="K17" i="5" s="1"/>
  <c r="L17" i="5" s="1"/>
  <c r="M17" i="5" s="1"/>
  <c r="N17" i="5" s="1"/>
  <c r="E8" i="5"/>
  <c r="F8" i="5" s="1"/>
  <c r="G8" i="5" s="1"/>
  <c r="H8" i="5" s="1"/>
  <c r="K8" i="5" s="1"/>
  <c r="L8" i="5" s="1"/>
  <c r="M8" i="5" s="1"/>
  <c r="N8" i="5" s="1"/>
  <c r="E15" i="5"/>
  <c r="F15" i="5" s="1"/>
  <c r="G15" i="5" s="1"/>
  <c r="H15" i="5" s="1"/>
  <c r="K15" i="5" s="1"/>
  <c r="L15" i="5" s="1"/>
  <c r="M15" i="5" s="1"/>
  <c r="N15" i="5" s="1"/>
  <c r="E22" i="5"/>
  <c r="F22" i="5" s="1"/>
  <c r="G22" i="5" s="1"/>
  <c r="H22" i="5" s="1"/>
  <c r="K22" i="5" s="1"/>
  <c r="L22" i="5" s="1"/>
  <c r="M22" i="5" s="1"/>
  <c r="N22" i="5" s="1"/>
  <c r="E6" i="5"/>
  <c r="F6" i="5" s="1"/>
  <c r="G6" i="5" s="1"/>
  <c r="H6" i="5" s="1"/>
  <c r="K6" i="5" s="1"/>
  <c r="L6" i="5" s="1"/>
  <c r="M6" i="5" s="1"/>
  <c r="N6" i="5" s="1"/>
  <c r="E13" i="5"/>
  <c r="F13" i="5" s="1"/>
  <c r="G13" i="5" s="1"/>
  <c r="H13" i="5" s="1"/>
  <c r="K13" i="5" s="1"/>
  <c r="L13" i="5" s="1"/>
  <c r="M13" i="5" s="1"/>
  <c r="N13" i="5" s="1"/>
  <c r="E20" i="5"/>
  <c r="F20" i="5" s="1"/>
  <c r="G20" i="5" s="1"/>
  <c r="H20" i="5" s="1"/>
  <c r="K20" i="5" s="1"/>
  <c r="L20" i="5" s="1"/>
  <c r="M20" i="5" s="1"/>
  <c r="N20" i="5" s="1"/>
  <c r="E4" i="5"/>
  <c r="F4" i="5" s="1"/>
  <c r="G4" i="5" s="1"/>
  <c r="H4" i="5" s="1"/>
  <c r="K4" i="5" s="1"/>
  <c r="L4" i="5" s="1"/>
  <c r="M4" i="5" s="1"/>
  <c r="N4" i="5" s="1"/>
  <c r="E11" i="5"/>
  <c r="F11" i="5" s="1"/>
  <c r="G11" i="5" s="1"/>
  <c r="H11" i="5" s="1"/>
  <c r="K11" i="5" s="1"/>
  <c r="L11" i="5" s="1"/>
  <c r="M11" i="5" s="1"/>
  <c r="N11" i="5" s="1"/>
  <c r="E21" i="5"/>
  <c r="F21" i="5" s="1"/>
  <c r="G21" i="5" s="1"/>
  <c r="H21" i="5" s="1"/>
  <c r="K21" i="5" s="1"/>
  <c r="L21" i="5" s="1"/>
  <c r="M21" i="5" s="1"/>
  <c r="N21" i="5" s="1"/>
  <c r="E5" i="5"/>
  <c r="F5" i="5" s="1"/>
  <c r="G5" i="5" s="1"/>
  <c r="H5" i="5" s="1"/>
  <c r="K5" i="5" s="1"/>
  <c r="L5" i="5" s="1"/>
  <c r="M5" i="5" s="1"/>
  <c r="N5" i="5" s="1"/>
  <c r="E19" i="5"/>
  <c r="F19" i="5" s="1"/>
  <c r="G19" i="5" s="1"/>
  <c r="H19" i="5" s="1"/>
  <c r="K19" i="5" s="1"/>
  <c r="L19" i="5" s="1"/>
  <c r="M19" i="5" s="1"/>
  <c r="N19" i="5" s="1"/>
  <c r="E5" i="7"/>
  <c r="F5" i="7" s="1"/>
  <c r="I5" i="7" s="1"/>
  <c r="E18" i="5"/>
  <c r="F18" i="5" s="1"/>
  <c r="G18" i="5" s="1"/>
  <c r="H18" i="5" s="1"/>
  <c r="K18" i="5" s="1"/>
  <c r="L18" i="5" s="1"/>
  <c r="M18" i="5" s="1"/>
  <c r="N18" i="5" s="1"/>
  <c r="E9" i="5"/>
  <c r="F9" i="5" s="1"/>
  <c r="G9" i="5" s="1"/>
  <c r="H9" i="5" s="1"/>
  <c r="K9" i="5" s="1"/>
  <c r="L9" i="5" s="1"/>
  <c r="M9" i="5" s="1"/>
  <c r="N9" i="5" s="1"/>
  <c r="C22" i="4"/>
  <c r="C23" i="4" s="1"/>
  <c r="C24" i="4" s="1"/>
  <c r="E12" i="5"/>
  <c r="F12" i="5" s="1"/>
  <c r="G12" i="5" s="1"/>
  <c r="H12" i="5" s="1"/>
  <c r="K12" i="5" s="1"/>
  <c r="L12" i="5" s="1"/>
  <c r="M12" i="5" s="1"/>
  <c r="N12" i="5" s="1"/>
  <c r="E16" i="5"/>
  <c r="F16" i="5" s="1"/>
  <c r="G16" i="5" s="1"/>
  <c r="H16" i="5" s="1"/>
  <c r="K16" i="5" s="1"/>
  <c r="L16" i="5" s="1"/>
  <c r="M16" i="5" s="1"/>
  <c r="N16" i="5" s="1"/>
  <c r="E7" i="5"/>
  <c r="F7" i="5" s="1"/>
  <c r="G7" i="5" s="1"/>
  <c r="H7" i="5" s="1"/>
  <c r="K7" i="5" s="1"/>
  <c r="L7" i="5" s="1"/>
  <c r="M7" i="5" s="1"/>
  <c r="N7" i="5" s="1"/>
  <c r="E23" i="5"/>
  <c r="F23" i="5" s="1"/>
  <c r="G23" i="5" s="1"/>
  <c r="H23" i="5" s="1"/>
  <c r="K23" i="5" s="1"/>
  <c r="L23" i="5" s="1"/>
  <c r="M23" i="5" s="1"/>
  <c r="N23" i="5" s="1"/>
  <c r="E14" i="5"/>
  <c r="F14" i="5" s="1"/>
  <c r="G14" i="5" s="1"/>
  <c r="H14" i="5" s="1"/>
  <c r="K14" i="5" s="1"/>
  <c r="L14" i="5" s="1"/>
  <c r="M14" i="5" s="1"/>
  <c r="N14" i="5" s="1"/>
  <c r="E10" i="5"/>
  <c r="F10" i="5" s="1"/>
  <c r="G10" i="5" s="1"/>
  <c r="H10" i="5" s="1"/>
  <c r="K10" i="5" s="1"/>
  <c r="L10" i="5" s="1"/>
  <c r="M10" i="5" s="1"/>
  <c r="N10" i="5" s="1"/>
  <c r="D7" i="12"/>
  <c r="E7" i="12" s="1"/>
  <c r="C8" i="12"/>
  <c r="C9" i="12" l="1"/>
  <c r="D8" i="12"/>
  <c r="E8" i="12" s="1"/>
  <c r="N24" i="5"/>
  <c r="C7" i="8" s="1"/>
  <c r="C5" i="10"/>
  <c r="D5" i="10" s="1"/>
  <c r="E5" i="10" s="1"/>
  <c r="F5" i="10" s="1"/>
  <c r="H5" i="10" s="1"/>
  <c r="C19" i="4"/>
  <c r="C4" i="10"/>
  <c r="D4" i="10" s="1"/>
  <c r="E4" i="10" s="1"/>
  <c r="F4" i="10" s="1"/>
  <c r="H4" i="10" s="1"/>
  <c r="C6" i="10"/>
  <c r="D6" i="10" s="1"/>
  <c r="E6" i="10" s="1"/>
  <c r="F6" i="10" s="1"/>
  <c r="H6" i="10" s="1"/>
  <c r="C7" i="10"/>
  <c r="D7" i="10" s="1"/>
  <c r="E7" i="10" s="1"/>
  <c r="F7" i="10" s="1"/>
  <c r="H7" i="10" s="1"/>
  <c r="C8" i="10"/>
  <c r="D8" i="10" s="1"/>
  <c r="E8" i="10" s="1"/>
  <c r="F8" i="10" s="1"/>
  <c r="H8" i="10" s="1"/>
  <c r="C13" i="4"/>
  <c r="C14" i="4" s="1"/>
  <c r="C15" i="4" s="1"/>
  <c r="C9" i="10"/>
  <c r="D9" i="10" s="1"/>
  <c r="E9" i="10" s="1"/>
  <c r="F9" i="10" s="1"/>
  <c r="H9" i="10" s="1"/>
  <c r="I4" i="7"/>
  <c r="F6" i="7"/>
  <c r="C9" i="8" s="1"/>
  <c r="B12" i="6"/>
  <c r="B13" i="6" s="1"/>
  <c r="B14" i="6" s="1"/>
  <c r="B15" i="6" s="1"/>
  <c r="B16" i="6" s="1"/>
  <c r="B17" i="6" s="1"/>
  <c r="B18" i="6" s="1"/>
  <c r="B19" i="6" s="1"/>
  <c r="B20" i="6" s="1"/>
  <c r="B21" i="6" s="1"/>
  <c r="C10" i="8" s="1"/>
  <c r="D6" i="11" l="1"/>
  <c r="E6" i="11" s="1"/>
  <c r="F6" i="11" s="1"/>
  <c r="H6" i="11" s="1"/>
  <c r="D8" i="11"/>
  <c r="E8" i="11" s="1"/>
  <c r="F8" i="11" s="1"/>
  <c r="H8" i="11" s="1"/>
  <c r="D4" i="11"/>
  <c r="E4" i="11" s="1"/>
  <c r="F4" i="11" s="1"/>
  <c r="H4" i="11" s="1"/>
  <c r="D9" i="11"/>
  <c r="E9" i="11" s="1"/>
  <c r="F9" i="11" s="1"/>
  <c r="H9" i="11" s="1"/>
  <c r="D5" i="11"/>
  <c r="E5" i="11" s="1"/>
  <c r="F5" i="11" s="1"/>
  <c r="H5" i="11" s="1"/>
  <c r="D10" i="11"/>
  <c r="E10" i="11" s="1"/>
  <c r="F10" i="11" s="1"/>
  <c r="H10" i="11" s="1"/>
  <c r="D7" i="11"/>
  <c r="E7" i="11" s="1"/>
  <c r="F7" i="11" s="1"/>
  <c r="H7" i="11" s="1"/>
  <c r="C20" i="4"/>
  <c r="C21" i="4" s="1"/>
  <c r="C11" i="8"/>
  <c r="C12" i="8" s="1"/>
  <c r="C10" i="12"/>
  <c r="D9" i="12"/>
  <c r="E9" i="12" s="1"/>
  <c r="C14" i="12" l="1"/>
  <c r="D10" i="12"/>
  <c r="E10" i="12" s="1"/>
  <c r="B26" i="8"/>
  <c r="C26" i="8" s="1"/>
  <c r="B18" i="8"/>
  <c r="C18" i="8" s="1"/>
  <c r="B25" i="8"/>
  <c r="C25" i="8" s="1"/>
  <c r="C8" i="9"/>
  <c r="C7" i="9"/>
  <c r="G7" i="9" s="1"/>
  <c r="B24" i="8"/>
  <c r="C24" i="8" s="1"/>
  <c r="B23" i="8"/>
  <c r="C23" i="8" s="1"/>
  <c r="C6" i="9"/>
  <c r="G6" i="9" s="1"/>
  <c r="B20" i="8"/>
  <c r="C20" i="8" s="1"/>
  <c r="C5" i="9"/>
  <c r="G5" i="9" s="1"/>
  <c r="B22" i="8"/>
  <c r="C22" i="8" s="1"/>
  <c r="B28" i="8"/>
  <c r="C28" i="8" s="1"/>
  <c r="B19" i="8"/>
  <c r="C19" i="8" s="1"/>
  <c r="C4" i="9"/>
  <c r="G4" i="9" s="1"/>
  <c r="B21" i="8"/>
  <c r="C21" i="8" s="1"/>
  <c r="B27" i="8"/>
  <c r="C27" i="8" s="1"/>
  <c r="C14" i="8"/>
  <c r="G8" i="9" l="1"/>
</calcChain>
</file>

<file path=xl/sharedStrings.xml><?xml version="1.0" encoding="utf-8"?>
<sst xmlns="http://schemas.openxmlformats.org/spreadsheetml/2006/main" count="385" uniqueCount="304">
  <si>
    <t>Таблицы расчёта курсового проекта «Водоснабжение и водоотведение жилого здания», вариант 3</t>
  </si>
  <si>
    <t>Буев Даниил Романович, ИГЭС 3-8. Номера таблиц — как в пояснительной записке.</t>
  </si>
  <si>
    <t>1.1 Исходные</t>
  </si>
  <si>
    <t>Таблица 1.1. Исходные данные (задание) и принятые допущения — жёлтые ячейки можно менять</t>
  </si>
  <si>
    <t>1.2 Нормы</t>
  </si>
  <si>
    <t>Таблица 1.2. Нормы расхода воды (табл. А.2 СП 30.13330.2020)</t>
  </si>
  <si>
    <t>1.3 Расходы</t>
  </si>
  <si>
    <t>Таблица 1.3. Расчётные расходы воды: U, N, суточные, среднечасовые, секундные, часовые</t>
  </si>
  <si>
    <t>1.4 Гидравлика В1</t>
  </si>
  <si>
    <t>Таблица 1.4. Гидравлический расчёт сети В1 по диктующему направлению (Шевелёв)</t>
  </si>
  <si>
    <t>1.5 Ввод</t>
  </si>
  <si>
    <t>Расчёт ввода (ПЭ100 SDR17, Колбрук–Уайт)</t>
  </si>
  <si>
    <t>1.6 Счётчики</t>
  </si>
  <si>
    <t>Таблица 1.5. Подбор счётчиков воды</t>
  </si>
  <si>
    <t>1.7 Напор</t>
  </si>
  <si>
    <t>Требуемый напор, напор установки, регуляторы давления по этажам</t>
  </si>
  <si>
    <t>1.8 Насос</t>
  </si>
  <si>
    <t>Таблица 1.6. Подбор насоса Wilo MVL (напор по кривым каталога)</t>
  </si>
  <si>
    <t>2.1 Стояки К1</t>
  </si>
  <si>
    <t>Таблица 2.1. Пропускная способность стояков К1</t>
  </si>
  <si>
    <t>2.2 Горизонт. К1</t>
  </si>
  <si>
    <t>Таблица 2.2. Расчёт горизонтальных участков К1 и дворовой сети</t>
  </si>
  <si>
    <t>2.3 Отметки</t>
  </si>
  <si>
    <t>Таблица 2.3. Отметки лотков и глубина колодцев дворовой сети</t>
  </si>
  <si>
    <t>Табл. Б.2</t>
  </si>
  <si>
    <t>Справочно: табл. Б.2 СП 30.13330.2020 (NP → α)</t>
  </si>
  <si>
    <t>Обозначения: жёлтые ячейки — исходные данные (синий шрифт); зелёные — результаты; остальное — формулы. Табличные величины (K_s, h/d и V по Лукиным, напор насосов по кривым) внесены числами из расчёта и подписаны.</t>
  </si>
  <si>
    <t>Таблица 1.1. Исходные данные (вариант 3) и принятые допущения</t>
  </si>
  <si>
    <t>№</t>
  </si>
  <si>
    <t>Показатель</t>
  </si>
  <si>
    <t>Значение</t>
  </si>
  <si>
    <t>Ед. изм.</t>
  </si>
  <si>
    <t>Этажность</t>
  </si>
  <si>
    <t>эт.</t>
  </si>
  <si>
    <t>Количество секций</t>
  </si>
  <si>
    <t>шт.</t>
  </si>
  <si>
    <t>Высота этажа</t>
  </si>
  <si>
    <t>м</t>
  </si>
  <si>
    <t>Заселённость</t>
  </si>
  <si>
    <t>чел./кв.</t>
  </si>
  <si>
    <t>Высота подвала</t>
  </si>
  <si>
    <t>Высота пола 1-го этажа над планировкой</t>
  </si>
  <si>
    <t>Толщина перекрытий</t>
  </si>
  <si>
    <t>Глубина промерзания грунта</t>
  </si>
  <si>
    <t>Гарантийный напор в наружной сети</t>
  </si>
  <si>
    <t>Диаметр городского водопровода</t>
  </si>
  <si>
    <t>мм</t>
  </si>
  <si>
    <t>Диаметр городской канализации</t>
  </si>
  <si>
    <t>Квартир на этаже в секции (по плану — 3 санузла)</t>
  </si>
  <si>
    <t>Приборов в квартире (мойка, умывальник, ванна, унитаз)</t>
  </si>
  <si>
    <t>Коэффициент местных сопротивлений K_l (хоз.-питьевой, жилое здание)</t>
  </si>
  <si>
    <t>—</t>
  </si>
  <si>
    <t>Свободный напор у верхнего прибора (п. 8.21 СП 30)</t>
  </si>
  <si>
    <t>Высота диктующего прибора над полом (душевая сетка над ванной)</t>
  </si>
  <si>
    <t>Отметка земли у ГВК (отн.)</t>
  </si>
  <si>
    <t>Длина ввода: 16,5 + 6,5 до стены + 2,0 по подвалу</t>
  </si>
  <si>
    <t>Абсолютная отметка 0,000</t>
  </si>
  <si>
    <t>Таблица 1.2. Нормы расхода воды (табл. А.2 СП 30.13330.2020, жилые дома с ваннами 1500–1700 мм с душами)</t>
  </si>
  <si>
    <t>Норма</t>
  </si>
  <si>
    <t>общая (tot)</t>
  </si>
  <si>
    <t>горячей (h)</t>
  </si>
  <si>
    <t>холодной (c)</t>
  </si>
  <si>
    <t>q_u — в сутки наибольшего водопотребления, л/сут на 1 жителя</t>
  </si>
  <si>
    <t>q_hr,u — в час наибольшего водопотребления, л/ч на 1 жителя</t>
  </si>
  <si>
    <t>q_0 — секундный расход прибором, л/с</t>
  </si>
  <si>
    <t>q_0,hr — часовой расход прибором, л/ч</t>
  </si>
  <si>
    <t>T — время водопотребления, ч</t>
  </si>
  <si>
    <t>q_0 и q_0,hr холодной и горячей воды в табл. А.2 — одна графа; c = tot − h для суточной и часовой норм на жителя.</t>
  </si>
  <si>
    <t>Таблица 1.3. Расчётные расходы воды (п. 5 СП 30.13330.2020)</t>
  </si>
  <si>
    <t>Величина</t>
  </si>
  <si>
    <t>Формула</t>
  </si>
  <si>
    <t>Квартир в здании n_кв</t>
  </si>
  <si>
    <t>n_эт·n_сек·n_кв.эт</t>
  </si>
  <si>
    <t>Число жителей U (округление вверх)</t>
  </si>
  <si>
    <t>U₀·n_кв</t>
  </si>
  <si>
    <t>чел.</t>
  </si>
  <si>
    <t>Число приборов N</t>
  </si>
  <si>
    <t>n_пр·n_кв</t>
  </si>
  <si>
    <t>Суточный общий Q_сут^tot</t>
  </si>
  <si>
    <t>q_u^tot·U/1000</t>
  </si>
  <si>
    <t>м³/сут</t>
  </si>
  <si>
    <t>Суточный холодной Q_сут^c</t>
  </si>
  <si>
    <t>q_u^c·U/1000</t>
  </si>
  <si>
    <t>Среднечасовой общий q_T^tot</t>
  </si>
  <si>
    <t>Q_сут^tot/T</t>
  </si>
  <si>
    <t>м³/ч</t>
  </si>
  <si>
    <t>Среднечасовой холодной q_T^c</t>
  </si>
  <si>
    <t>Q_сут^c/T</t>
  </si>
  <si>
    <t>Вероятность действия P^tot</t>
  </si>
  <si>
    <t>q_hr,u^tot·U/(3600·q_0^tot·N)</t>
  </si>
  <si>
    <t>Вероятность действия P^c</t>
  </si>
  <si>
    <t>q_hr,u^c·U/(3600·q_0^c·N)</t>
  </si>
  <si>
    <t>NP^tot</t>
  </si>
  <si>
    <t>N·P^tot</t>
  </si>
  <si>
    <t>α^tot (табл. Б.2, интерполяция)</t>
  </si>
  <si>
    <t>f(NP^tot)</t>
  </si>
  <si>
    <t>Максимальный секундный общий q^tot</t>
  </si>
  <si>
    <t>5·q_0^tot·α^tot</t>
  </si>
  <si>
    <t>л/с</t>
  </si>
  <si>
    <t>NP^c</t>
  </si>
  <si>
    <t>N·P^c</t>
  </si>
  <si>
    <t>α^c</t>
  </si>
  <si>
    <t>f(NP^c)</t>
  </si>
  <si>
    <t>Максимальный секундный холодной q^c</t>
  </si>
  <si>
    <t>5·q_0^c·α^c</t>
  </si>
  <si>
    <t>Часовая вероятность P_hr^tot</t>
  </si>
  <si>
    <t>3600·P^tot·q_0^tot/q_0,hr^tot</t>
  </si>
  <si>
    <t>α_hr^tot</t>
  </si>
  <si>
    <t>f(N·P_hr^tot)</t>
  </si>
  <si>
    <t>Максимальный часовой общий q_hr^tot</t>
  </si>
  <si>
    <t>0,005·q_0,hr^tot·α_hr^tot</t>
  </si>
  <si>
    <t>Часовая вероятность P_hr^c</t>
  </si>
  <si>
    <t>3600·P^c·q_0^c/q_0,hr^c</t>
  </si>
  <si>
    <t>α_hr^c</t>
  </si>
  <si>
    <t>f(N·P_hr^c)</t>
  </si>
  <si>
    <t>Максимальный часовой холодной q_hr^c</t>
  </si>
  <si>
    <t>0,005·q_0,hr^c·α_hr^c</t>
  </si>
  <si>
    <t>Таблица 1.4. Гидравлический расчёт сети В1 по диктующему направлению (стояк Ст.В1-5, душевая сетка 11-го этажа)</t>
  </si>
  <si>
    <t>Уча-сток</t>
  </si>
  <si>
    <t>Наименование</t>
  </si>
  <si>
    <t>L, м</t>
  </si>
  <si>
    <t>N</t>
  </si>
  <si>
    <t>P^c</t>
  </si>
  <si>
    <t>NP</t>
  </si>
  <si>
    <t>α</t>
  </si>
  <si>
    <t>q, л/с</t>
  </si>
  <si>
    <t>DN</t>
  </si>
  <si>
    <t>d_р, мм</t>
  </si>
  <si>
    <t>v, м/с</t>
  </si>
  <si>
    <t>i</t>
  </si>
  <si>
    <t>iL</t>
  </si>
  <si>
    <t>h, м</t>
  </si>
  <si>
    <t>d_вн, мм</t>
  </si>
  <si>
    <t>1–2</t>
  </si>
  <si>
    <t>кв. разводка</t>
  </si>
  <si>
    <t>2–3</t>
  </si>
  <si>
    <t>3–4</t>
  </si>
  <si>
    <t>4–5</t>
  </si>
  <si>
    <t>стояк Ст.В1-5, эт. 11-10</t>
  </si>
  <si>
    <t>5–6</t>
  </si>
  <si>
    <t>стояк Ст.В1-5, эт. 10-9</t>
  </si>
  <si>
    <t>6–7</t>
  </si>
  <si>
    <t>стояк Ст.В1-5, эт. 9-8</t>
  </si>
  <si>
    <t>7–8</t>
  </si>
  <si>
    <t>стояк Ст.В1-5, эт. 8-7</t>
  </si>
  <si>
    <t>8–9</t>
  </si>
  <si>
    <t>стояк Ст.В1-5, эт. 7-6</t>
  </si>
  <si>
    <t>9–10</t>
  </si>
  <si>
    <t>стояк Ст.В1-5, эт. 6-5</t>
  </si>
  <si>
    <t>10–11</t>
  </si>
  <si>
    <t>стояк Ст.В1-5, эт. 5-4</t>
  </si>
  <si>
    <t>11–12</t>
  </si>
  <si>
    <t>стояк Ст.В1-5, эт. 4-3</t>
  </si>
  <si>
    <t>12–13</t>
  </si>
  <si>
    <t>стояк Ст.В1-5, эт. 3-2</t>
  </si>
  <si>
    <t>13–14</t>
  </si>
  <si>
    <t>стояк Ст.В1-5, эт. 2-1</t>
  </si>
  <si>
    <t>14–15</t>
  </si>
  <si>
    <t>стояк Ст.В1-5, эт. 1 - магистраль</t>
  </si>
  <si>
    <t>15–16</t>
  </si>
  <si>
    <t>магистраль x = 30,34…44,88</t>
  </si>
  <si>
    <t>16–17</t>
  </si>
  <si>
    <t>магистраль x = 29,16…30,34</t>
  </si>
  <si>
    <t>17–18</t>
  </si>
  <si>
    <t>магистраль x = 16,29…29,16</t>
  </si>
  <si>
    <t>18–19</t>
  </si>
  <si>
    <t>магистраль x = 15,12…16,29</t>
  </si>
  <si>
    <t>19–20</t>
  </si>
  <si>
    <t>магистраль x = 4,00…15,12</t>
  </si>
  <si>
    <t>20–НС</t>
  </si>
  <si>
    <t>напорная линия: установка - тройник магистрали</t>
  </si>
  <si>
    <t>Итого Σh по диктующему направлению</t>
  </si>
  <si>
    <t>d_р — расчётный внутренний диаметр (внутренний диаметр трубы ГОСТ 3262-75 минус 1 мм); i — по формулам Ф.А. Шевелева для неновых стальных труб: v &lt; 1,2 м/с — i = 0,000912·v²/d_р^1,3·(1 + 0,867/v)^0,3; v ≥ 1,2 м/с — i = 0,00107·v²/d_р^1,3. h = iL·(1 + K_l). DN подобран по экономичным скоростям (≤ 1,5 м/с в подводках, ≤ 1,2 м/с в стояках и магистралях).</t>
  </si>
  <si>
    <t>Расчёт ввода В1-1 (ПЭ100 SDR17, потери по Колбруку–Уайту)</t>
  </si>
  <si>
    <t>Расчётный расход q^c</t>
  </si>
  <si>
    <t>Наружный диаметр ПЭ100 SDR17</t>
  </si>
  <si>
    <t>Внутренний диаметр</t>
  </si>
  <si>
    <t>Эквивалентная шероховатость Δ</t>
  </si>
  <si>
    <t>Кинематическая вязкость воды (10 °С)</t>
  </si>
  <si>
    <t>м²/с</t>
  </si>
  <si>
    <t>Скорость v = q/(π d²/4)</t>
  </si>
  <si>
    <t>м/с</t>
  </si>
  <si>
    <t>Число Рейнольдса Re = v·d/ν</t>
  </si>
  <si>
    <t>λ — итерации формулы Колбрука–Уайта: 1/√λ = −2·lg(Δ/(3,7d) + 2,51/(Re·√λ))</t>
  </si>
  <si>
    <t>λ, итерация 1</t>
  </si>
  <si>
    <t>λ, итерация 2</t>
  </si>
  <si>
    <t>λ, итерация 3</t>
  </si>
  <si>
    <t>λ, итерация 4</t>
  </si>
  <si>
    <t>λ, итерация 5</t>
  </si>
  <si>
    <t>λ, итерация 6</t>
  </si>
  <si>
    <t>λ, итерация 7</t>
  </si>
  <si>
    <t>λ, итерация 8</t>
  </si>
  <si>
    <t>Удельные потери i = λ/d·v²/(2g)</t>
  </si>
  <si>
    <t>м/м</t>
  </si>
  <si>
    <t>Потери на вводе h_ввод = i·L·(1 + K_l)</t>
  </si>
  <si>
    <t>Таблица 1.5. Подбор счётчиков воды (табл. 12.1, п. 12.15–12.16 СП 30.13330.2020)</t>
  </si>
  <si>
    <t>Узел</t>
  </si>
  <si>
    <t>q_экспл, м³/ч</t>
  </si>
  <si>
    <t>S, м/(л/с)²</t>
  </si>
  <si>
    <t>Расчётный расход q, л/с</t>
  </si>
  <si>
    <t>h_сч = S·q², м</t>
  </si>
  <si>
    <t>Допустимо, м</t>
  </si>
  <si>
    <t>q_T ≤ q_экспл</t>
  </si>
  <si>
    <t>Вывод</t>
  </si>
  <si>
    <t>Общедомовой ВСХН-25 (ввод)</t>
  </si>
  <si>
    <t>Квартирный (4 прибора)</t>
  </si>
  <si>
    <t>Σh_сч (общедомовой + квартирный)</t>
  </si>
  <si>
    <t>Требуемый напор и напор повысительной установки</t>
  </si>
  <si>
    <t>Верх городской трубы (отн.)</t>
  </si>
  <si>
    <t>z_земли − (H_пр + 0,5)</t>
  </si>
  <si>
    <t>Отметка диктующего прибора (11-й этаж)</t>
  </si>
  <si>
    <t>(n_эт − 1)·h_эт + 1,95</t>
  </si>
  <si>
    <t>Геометрическая высота H_geom</t>
  </si>
  <si>
    <t>z_дикт − z_гор</t>
  </si>
  <si>
    <t>Потери в сети Σh (табл. 1.4)</t>
  </si>
  <si>
    <t>Σh</t>
  </si>
  <si>
    <t>Свободный напор H_f</t>
  </si>
  <si>
    <t>п. 8.21</t>
  </si>
  <si>
    <t>Потери в счётчиках Σh_сч</t>
  </si>
  <si>
    <t>табл. 1.5</t>
  </si>
  <si>
    <t>Потери на вводе h_ввод</t>
  </si>
  <si>
    <t>лист 1.5</t>
  </si>
  <si>
    <t>Требуемый напор H_тр</t>
  </si>
  <si>
    <t>H_geom + Σh + H_f + Σh_сч + h_ввод</t>
  </si>
  <si>
    <t>Напор установки H_р</t>
  </si>
  <si>
    <t>H_тр − H_гар</t>
  </si>
  <si>
    <t>Подача установки Q</t>
  </si>
  <si>
    <t>q^c·3,6</t>
  </si>
  <si>
    <t>Полезная мощность N</t>
  </si>
  <si>
    <t>ρ·g·Q·H_р</t>
  </si>
  <si>
    <t>кВт</t>
  </si>
  <si>
    <t>Регуляторы давления (п. 8.22 СП 30: напор у нижнего прибора более 45 м)</t>
  </si>
  <si>
    <t>Этаж</t>
  </si>
  <si>
    <t>Напор у смесителя ванны (0,8 м) без расхода, м</t>
  </si>
  <si>
    <t>Регулятор</t>
  </si>
  <si>
    <t>Таблица 1.6. Подбор насоса (Wilo MVL 4, напор при 50 Гц по кривым каталога при расчётной подаче)</t>
  </si>
  <si>
    <t>Насос</t>
  </si>
  <si>
    <t>H при 50 Гц, м</t>
  </si>
  <si>
    <t>Запас, м</t>
  </si>
  <si>
    <t>В рабочей зоне</t>
  </si>
  <si>
    <t>КПД, %</t>
  </si>
  <si>
    <t>Мотор, кВт</t>
  </si>
  <si>
    <t>MVL 405</t>
  </si>
  <si>
    <t>да</t>
  </si>
  <si>
    <t>MVL 406</t>
  </si>
  <si>
    <t>MVL 407</t>
  </si>
  <si>
    <t>MVL 408</t>
  </si>
  <si>
    <t>MVL 410</t>
  </si>
  <si>
    <t>Принята установка Wilo COR-2 MVL 408/SKw-EB-R: 1 рабочий + 1 резервный насос, частотное регулирование. Напор насосов — по кривым каталога WILO серии MVL при Q = 4,83 м³/ч.</t>
  </si>
  <si>
    <t>Таблица 2.1. Пропускная способность стояков К1 (полипропилен Ø110, отводы 45°)</t>
  </si>
  <si>
    <t>Стояк</t>
  </si>
  <si>
    <t>q^tot, л/с</t>
  </si>
  <si>
    <t>q^s, л/с</t>
  </si>
  <si>
    <t>Допустимо, л/с</t>
  </si>
  <si>
    <t>Ст.К1-1</t>
  </si>
  <si>
    <t>Ст.К1-2</t>
  </si>
  <si>
    <t>Ст.К1-3</t>
  </si>
  <si>
    <t>Ст.К1-4</t>
  </si>
  <si>
    <t>Ст.К1-5</t>
  </si>
  <si>
    <t>Ст.К1-6</t>
  </si>
  <si>
    <t>q^s = q^tot + q_0^s, q_0^s = 1,6 л/с (унитаз со смывным бачком, табл. А.1). Допустимый расход — прил. К СП 30.13330.2020.</t>
  </si>
  <si>
    <t>Участок</t>
  </si>
  <si>
    <t>P_hr^tot</t>
  </si>
  <si>
    <t>α_hr</t>
  </si>
  <si>
    <t>q_hr, м³/ч</t>
  </si>
  <si>
    <t>K_s</t>
  </si>
  <si>
    <t>q^sL, л/с</t>
  </si>
  <si>
    <t>d, мм</t>
  </si>
  <si>
    <t>h/d</t>
  </si>
  <si>
    <t>V, м/с</t>
  </si>
  <si>
    <t>V·√(h/d)</t>
  </si>
  <si>
    <t>iL, м</t>
  </si>
  <si>
    <t>сборный: ст. кв. В - ст. кв. Б (чугун SML)</t>
  </si>
  <si>
    <t>сборный: ст. кв. Б - выпуск (чугун SML)</t>
  </si>
  <si>
    <t>выпуск: ст. кв. А - КК (чугун SML)</t>
  </si>
  <si>
    <t>КК-1 - КК-2 (ПЭ гофр. Ø160)</t>
  </si>
  <si>
    <t>КК-2 - КК-3 (ПЭ гофр. Ø160)</t>
  </si>
  <si>
    <t>КК-3 - ККК (ПЭ гофр. Ø160)</t>
  </si>
  <si>
    <t>ККК - ГКК (ПЭ гофр. Ø160)</t>
  </si>
  <si>
    <t>q^sL = q_hr/3,6 + K_s·q_0^s1 (q_0^s1 = 1,1 л/с — ванна). K_s — по табл. 5.1 СП 30 с интерполяцией по L и N; h/d и V — по формуле Н.Н. Павловского (n = 0,014, таблицы Лукиных) при принятых d и i. Все участки безрасчётные: условие V·√(h/d) ≥ K невыполнимо при малых расходах, уклон i ≥ 1/d.</t>
  </si>
  <si>
    <t>Таблица 2.3. Отметки лотков и глубина колодцев дворовой сети К1 (абсолютные), м</t>
  </si>
  <si>
    <t>Точка</t>
  </si>
  <si>
    <t>Земля</t>
  </si>
  <si>
    <t>Лоток</t>
  </si>
  <si>
    <t>Глубина лотка</t>
  </si>
  <si>
    <t>Не мельче H₀</t>
  </si>
  <si>
    <t>Как получен лоток</t>
  </si>
  <si>
    <t>Выпуск у стены (−2,000)</t>
  </si>
  <si>
    <t>лоток выпуска у стены</t>
  </si>
  <si>
    <t>Выпуск в КК-1 (Ø100)</t>
  </si>
  <si>
    <t>−i·5 м (стена — колодец)</t>
  </si>
  <si>
    <t>КК-1</t>
  </si>
  <si>
    <t>шелыга в шелыгу: Ø100 → Ø150</t>
  </si>
  <si>
    <t>КК-2</t>
  </si>
  <si>
    <t>− i·L участка КК-1–КК-2</t>
  </si>
  <si>
    <t>КК-3</t>
  </si>
  <si>
    <t>− i·L участка КК-2–КК-3</t>
  </si>
  <si>
    <t>ККК</t>
  </si>
  <si>
    <t>− i·L участка КК-3–ККК</t>
  </si>
  <si>
    <t>ГКК</t>
  </si>
  <si>
    <t>− i·L участка ККК–ГКК</t>
  </si>
  <si>
    <t>H₀ = max(H_пр − 0,3; 0,7 + d)</t>
  </si>
  <si>
    <t>Лоток городского коллектора Ø400 в ГКК («по месту»)</t>
  </si>
  <si>
    <t>Дворовая труба входит выше шелыги коллектора на, 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</si>
</sst>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"/>
    <numFmt numFmtId="166" formatCode="0.0##"/>
    <numFmt numFmtId="167" formatCode="0.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3"/>
      <name val="Times New Roman"/>
    </font>
    <font>
      <i/>
      <sz val="9"/>
      <color rgb="FF595959"/>
      <name val="Times New Roman"/>
    </font>
    <font>
      <b/>
      <sz val="11"/>
      <name val="Times New Roman"/>
    </font>
    <font>
      <sz val="11"/>
      <name val="Times New Roman"/>
    </font>
    <font>
      <sz val="11"/>
      <color rgb="FF0000FF"/>
      <name val="Times New Roman"/>
    </font>
  </fonts>
  <fills count="5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FFF2A8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" fontId="5" fillId="3" borderId="1" xfId="0" applyNumberFormat="1" applyFont="1" applyFill="1" applyBorder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 wrapText="1"/>
    </xf>
    <xf numFmtId="2" fontId="5" fillId="3" borderId="1" xfId="0" applyNumberFormat="1" applyFont="1" applyFill="1" applyBorder="1" applyAlignment="1">
      <alignment horizontal="center" vertical="center" wrapText="1"/>
    </xf>
    <xf numFmtId="165" fontId="5" fillId="3" borderId="1" xfId="0" applyNumberFormat="1" applyFont="1" applyFill="1" applyBorder="1" applyAlignment="1">
      <alignment horizontal="center" vertical="center" wrapText="1"/>
    </xf>
    <xf numFmtId="166" fontId="5" fillId="3" borderId="1" xfId="0" applyNumberFormat="1" applyFont="1" applyFill="1" applyBorder="1" applyAlignment="1">
      <alignment horizontal="center" vertical="center" wrapText="1"/>
    </xf>
    <xf numFmtId="166" fontId="4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left" vertical="top"/>
    </xf>
    <xf numFmtId="1" fontId="4" fillId="0" borderId="1" xfId="0" applyNumberFormat="1" applyFont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167" fontId="4" fillId="0" borderId="1" xfId="0" applyNumberFormat="1" applyFont="1" applyBorder="1" applyAlignment="1">
      <alignment horizontal="center" vertical="center" wrapText="1"/>
    </xf>
    <xf numFmtId="165" fontId="3" fillId="4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168" fontId="4" fillId="0" borderId="1" xfId="0" applyNumberFormat="1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1" fontId="5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2" fontId="4" fillId="0" borderId="1" xfId="0" applyNumberFormat="1" applyFont="1" applyBorder="1" applyAlignment="1">
      <alignment horizontal="left" vertical="center" wrapText="1"/>
    </xf>
    <xf numFmtId="0" fontId="4" fillId="0" borderId="0" xfId="0" applyFont="1"/>
    <xf numFmtId="0" fontId="2" fillId="0" borderId="0" xfId="0" applyFont="1" applyAlignment="1">
      <alignment horizontal="left" wrapText="1"/>
    </xf>
    <xf numFmtId="0" fontId="0" fillId="0" borderId="0" xfId="0"/>
    <xf numFmtId="0" fontId="2" fillId="0" borderId="0" xfId="0" applyFont="1" applyAlignment="1">
      <alignment horizontal="left" vertical="top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18"/>
  <sheetViews>
    <sheetView showGridLines="0" tabSelected="1" workbookViewId="0"/>
  </sheetViews>
  <sheetFormatPr defaultRowHeight="14.4" x14ac:dyDescent="0.3"/>
  <cols>
    <col min="1" max="1" width="30" customWidth="1"/>
    <col min="2" max="2" width="95" customWidth="1"/>
  </cols>
  <sheetData>
    <row r="1" spans="1:2" ht="16.8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 t="s">
        <v>3</v>
      </c>
    </row>
    <row r="5" spans="1:2" x14ac:dyDescent="0.3">
      <c r="A5" s="3" t="s">
        <v>4</v>
      </c>
      <c r="B5" s="4" t="s">
        <v>5</v>
      </c>
    </row>
    <row r="6" spans="1:2" x14ac:dyDescent="0.3">
      <c r="A6" s="3" t="s">
        <v>6</v>
      </c>
      <c r="B6" s="4" t="s">
        <v>7</v>
      </c>
    </row>
    <row r="7" spans="1:2" x14ac:dyDescent="0.3">
      <c r="A7" s="3" t="s">
        <v>8</v>
      </c>
      <c r="B7" s="4" t="s">
        <v>9</v>
      </c>
    </row>
    <row r="8" spans="1:2" x14ac:dyDescent="0.3">
      <c r="A8" s="3" t="s">
        <v>10</v>
      </c>
      <c r="B8" s="4" t="s">
        <v>11</v>
      </c>
    </row>
    <row r="9" spans="1:2" x14ac:dyDescent="0.3">
      <c r="A9" s="3" t="s">
        <v>12</v>
      </c>
      <c r="B9" s="4" t="s">
        <v>13</v>
      </c>
    </row>
    <row r="10" spans="1:2" x14ac:dyDescent="0.3">
      <c r="A10" s="3" t="s">
        <v>14</v>
      </c>
      <c r="B10" s="4" t="s">
        <v>15</v>
      </c>
    </row>
    <row r="11" spans="1:2" x14ac:dyDescent="0.3">
      <c r="A11" s="3" t="s">
        <v>16</v>
      </c>
      <c r="B11" s="4" t="s">
        <v>17</v>
      </c>
    </row>
    <row r="12" spans="1:2" x14ac:dyDescent="0.3">
      <c r="A12" s="3" t="s">
        <v>18</v>
      </c>
      <c r="B12" s="4" t="s">
        <v>19</v>
      </c>
    </row>
    <row r="13" spans="1:2" x14ac:dyDescent="0.3">
      <c r="A13" s="3" t="s">
        <v>20</v>
      </c>
      <c r="B13" s="4" t="s">
        <v>21</v>
      </c>
    </row>
    <row r="14" spans="1:2" x14ac:dyDescent="0.3">
      <c r="A14" s="3" t="s">
        <v>22</v>
      </c>
      <c r="B14" s="4" t="s">
        <v>23</v>
      </c>
    </row>
    <row r="15" spans="1:2" x14ac:dyDescent="0.3">
      <c r="A15" s="3" t="s">
        <v>24</v>
      </c>
      <c r="B15" s="4" t="s">
        <v>25</v>
      </c>
    </row>
    <row r="17" spans="1:2" x14ac:dyDescent="0.3">
      <c r="A17" s="29" t="s">
        <v>26</v>
      </c>
      <c r="B17" s="30"/>
    </row>
    <row r="18" spans="1:2" x14ac:dyDescent="0.3">
      <c r="A18" s="30"/>
      <c r="B18" s="30"/>
    </row>
  </sheetData>
  <mergeCells count="1">
    <mergeCell ref="A17:B18"/>
  </mergeCells>
  <pageMargins left="0.75" right="0.75" top="1" bottom="1" header="0.5" footer="0.5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D22"/>
  <sheetViews>
    <sheetView showGridLines="0" workbookViewId="0"/>
  </sheetViews>
  <sheetFormatPr defaultRowHeight="14.4" x14ac:dyDescent="0.3"/>
  <cols>
    <col min="1" max="1" width="6" customWidth="1"/>
    <col min="2" max="2" width="62" customWidth="1"/>
    <col min="3" max="3" width="14" customWidth="1"/>
    <col min="4" max="4" width="12" customWidth="1"/>
  </cols>
  <sheetData>
    <row r="1" spans="1:4" ht="16.8" x14ac:dyDescent="0.3">
      <c r="A1" s="5" t="s">
        <v>27</v>
      </c>
    </row>
    <row r="3" spans="1:4" ht="31.95" customHeight="1" x14ac:dyDescent="0.3">
      <c r="A3" s="6" t="s">
        <v>28</v>
      </c>
      <c r="B3" s="6" t="s">
        <v>29</v>
      </c>
      <c r="C3" s="6" t="s">
        <v>30</v>
      </c>
      <c r="D3" s="6" t="s">
        <v>31</v>
      </c>
    </row>
    <row r="4" spans="1:4" x14ac:dyDescent="0.3">
      <c r="A4" s="7">
        <v>1</v>
      </c>
      <c r="B4" s="4" t="s">
        <v>32</v>
      </c>
      <c r="C4" s="8">
        <v>11</v>
      </c>
      <c r="D4" s="4" t="s">
        <v>33</v>
      </c>
    </row>
    <row r="5" spans="1:4" x14ac:dyDescent="0.3">
      <c r="A5" s="7">
        <v>2</v>
      </c>
      <c r="B5" s="4" t="s">
        <v>34</v>
      </c>
      <c r="C5" s="8">
        <v>2</v>
      </c>
      <c r="D5" s="4" t="s">
        <v>35</v>
      </c>
    </row>
    <row r="6" spans="1:4" x14ac:dyDescent="0.3">
      <c r="A6" s="7">
        <v>3</v>
      </c>
      <c r="B6" s="4" t="s">
        <v>36</v>
      </c>
      <c r="C6" s="9">
        <v>3.2</v>
      </c>
      <c r="D6" s="4" t="s">
        <v>37</v>
      </c>
    </row>
    <row r="7" spans="1:4" x14ac:dyDescent="0.3">
      <c r="A7" s="7">
        <v>4</v>
      </c>
      <c r="B7" s="4" t="s">
        <v>38</v>
      </c>
      <c r="C7" s="9">
        <v>3.8</v>
      </c>
      <c r="D7" s="4" t="s">
        <v>39</v>
      </c>
    </row>
    <row r="8" spans="1:4" x14ac:dyDescent="0.3">
      <c r="A8" s="7">
        <v>5</v>
      </c>
      <c r="B8" s="4" t="s">
        <v>40</v>
      </c>
      <c r="C8" s="9">
        <v>3</v>
      </c>
      <c r="D8" s="4" t="s">
        <v>37</v>
      </c>
    </row>
    <row r="9" spans="1:4" x14ac:dyDescent="0.3">
      <c r="A9" s="7">
        <v>6</v>
      </c>
      <c r="B9" s="4" t="s">
        <v>41</v>
      </c>
      <c r="C9" s="9">
        <v>0.3</v>
      </c>
      <c r="D9" s="4" t="s">
        <v>37</v>
      </c>
    </row>
    <row r="10" spans="1:4" x14ac:dyDescent="0.3">
      <c r="A10" s="7">
        <v>7</v>
      </c>
      <c r="B10" s="4" t="s">
        <v>42</v>
      </c>
      <c r="C10" s="9">
        <v>0.3</v>
      </c>
      <c r="D10" s="4" t="s">
        <v>37</v>
      </c>
    </row>
    <row r="11" spans="1:4" x14ac:dyDescent="0.3">
      <c r="A11" s="7">
        <v>8</v>
      </c>
      <c r="B11" s="4" t="s">
        <v>43</v>
      </c>
      <c r="C11" s="9">
        <v>1.7</v>
      </c>
      <c r="D11" s="4" t="s">
        <v>37</v>
      </c>
    </row>
    <row r="12" spans="1:4" x14ac:dyDescent="0.3">
      <c r="A12" s="7">
        <v>9</v>
      </c>
      <c r="B12" s="4" t="s">
        <v>44</v>
      </c>
      <c r="C12" s="9">
        <v>14</v>
      </c>
      <c r="D12" s="4" t="s">
        <v>37</v>
      </c>
    </row>
    <row r="13" spans="1:4" x14ac:dyDescent="0.3">
      <c r="A13" s="7">
        <v>10</v>
      </c>
      <c r="B13" s="4" t="s">
        <v>45</v>
      </c>
      <c r="C13" s="8">
        <v>250</v>
      </c>
      <c r="D13" s="4" t="s">
        <v>46</v>
      </c>
    </row>
    <row r="14" spans="1:4" x14ac:dyDescent="0.3">
      <c r="A14" s="7">
        <v>11</v>
      </c>
      <c r="B14" s="4" t="s">
        <v>47</v>
      </c>
      <c r="C14" s="8">
        <v>400</v>
      </c>
      <c r="D14" s="4" t="s">
        <v>46</v>
      </c>
    </row>
    <row r="15" spans="1:4" x14ac:dyDescent="0.3">
      <c r="A15" s="7">
        <v>12</v>
      </c>
      <c r="B15" s="4" t="s">
        <v>48</v>
      </c>
      <c r="C15" s="8">
        <v>3</v>
      </c>
      <c r="D15" s="4" t="s">
        <v>35</v>
      </c>
    </row>
    <row r="16" spans="1:4" x14ac:dyDescent="0.3">
      <c r="A16" s="7">
        <v>13</v>
      </c>
      <c r="B16" s="4" t="s">
        <v>49</v>
      </c>
      <c r="C16" s="8">
        <v>4</v>
      </c>
      <c r="D16" s="4" t="s">
        <v>35</v>
      </c>
    </row>
    <row r="17" spans="1:4" ht="27.6" x14ac:dyDescent="0.3">
      <c r="A17" s="7">
        <v>14</v>
      </c>
      <c r="B17" s="4" t="s">
        <v>50</v>
      </c>
      <c r="C17" s="10">
        <v>0.3</v>
      </c>
      <c r="D17" s="4" t="s">
        <v>51</v>
      </c>
    </row>
    <row r="18" spans="1:4" x14ac:dyDescent="0.3">
      <c r="A18" s="7">
        <v>15</v>
      </c>
      <c r="B18" s="4" t="s">
        <v>52</v>
      </c>
      <c r="C18" s="9">
        <v>20</v>
      </c>
      <c r="D18" s="4" t="s">
        <v>37</v>
      </c>
    </row>
    <row r="19" spans="1:4" x14ac:dyDescent="0.3">
      <c r="A19" s="7">
        <v>16</v>
      </c>
      <c r="B19" s="4" t="s">
        <v>53</v>
      </c>
      <c r="C19" s="10">
        <v>1.95</v>
      </c>
      <c r="D19" s="4" t="s">
        <v>37</v>
      </c>
    </row>
    <row r="20" spans="1:4" x14ac:dyDescent="0.3">
      <c r="A20" s="7">
        <v>17</v>
      </c>
      <c r="B20" s="4" t="s">
        <v>54</v>
      </c>
      <c r="C20" s="11">
        <v>-0.5</v>
      </c>
      <c r="D20" s="4" t="s">
        <v>37</v>
      </c>
    </row>
    <row r="21" spans="1:4" x14ac:dyDescent="0.3">
      <c r="A21" s="7">
        <v>18</v>
      </c>
      <c r="B21" s="4" t="s">
        <v>55</v>
      </c>
      <c r="C21" s="9">
        <v>25</v>
      </c>
      <c r="D21" s="4" t="s">
        <v>37</v>
      </c>
    </row>
    <row r="22" spans="1:4" x14ac:dyDescent="0.3">
      <c r="A22" s="7">
        <v>19</v>
      </c>
      <c r="B22" s="4" t="s">
        <v>56</v>
      </c>
      <c r="C22" s="10">
        <v>101</v>
      </c>
      <c r="D22" s="4" t="s">
        <v>37</v>
      </c>
    </row>
  </sheetData>
  <pageMargins left="0.75" right="0.75" top="1" bottom="1" header="0.5" footer="0.5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D10"/>
  <sheetViews>
    <sheetView showGridLines="0" workbookViewId="0"/>
  </sheetViews>
  <sheetFormatPr defaultRowHeight="14.4" x14ac:dyDescent="0.3"/>
  <cols>
    <col min="1" max="1" width="62" customWidth="1"/>
    <col min="2" max="4" width="14" customWidth="1"/>
  </cols>
  <sheetData>
    <row r="1" spans="1:4" ht="16.8" x14ac:dyDescent="0.3">
      <c r="A1" s="5" t="s">
        <v>57</v>
      </c>
    </row>
    <row r="3" spans="1:4" ht="31.95" customHeight="1" x14ac:dyDescent="0.3">
      <c r="A3" s="6" t="s">
        <v>58</v>
      </c>
      <c r="B3" s="6" t="s">
        <v>59</v>
      </c>
      <c r="C3" s="6" t="s">
        <v>60</v>
      </c>
      <c r="D3" s="6" t="s">
        <v>61</v>
      </c>
    </row>
    <row r="4" spans="1:4" x14ac:dyDescent="0.3">
      <c r="A4" s="4" t="s">
        <v>62</v>
      </c>
      <c r="B4" s="12">
        <v>180</v>
      </c>
      <c r="C4" s="12">
        <v>70</v>
      </c>
      <c r="D4" s="13">
        <f>B4-C4</f>
        <v>110</v>
      </c>
    </row>
    <row r="5" spans="1:4" x14ac:dyDescent="0.3">
      <c r="A5" s="4" t="s">
        <v>63</v>
      </c>
      <c r="B5" s="12">
        <v>11.6</v>
      </c>
      <c r="C5" s="12">
        <v>6.5</v>
      </c>
      <c r="D5" s="13">
        <f>B5-C5</f>
        <v>5.0999999999999996</v>
      </c>
    </row>
    <row r="6" spans="1:4" x14ac:dyDescent="0.3">
      <c r="A6" s="4" t="s">
        <v>64</v>
      </c>
      <c r="B6" s="12">
        <v>0.3</v>
      </c>
      <c r="C6" s="12">
        <v>0.2</v>
      </c>
      <c r="D6" s="13">
        <f>C6</f>
        <v>0.2</v>
      </c>
    </row>
    <row r="7" spans="1:4" x14ac:dyDescent="0.3">
      <c r="A7" s="4" t="s">
        <v>65</v>
      </c>
      <c r="B7" s="12">
        <v>300</v>
      </c>
      <c r="C7" s="12">
        <v>200</v>
      </c>
      <c r="D7" s="13">
        <f>C7</f>
        <v>200</v>
      </c>
    </row>
    <row r="8" spans="1:4" x14ac:dyDescent="0.3">
      <c r="A8" s="4" t="s">
        <v>66</v>
      </c>
      <c r="B8" s="12">
        <v>24</v>
      </c>
      <c r="C8" s="12">
        <v>24</v>
      </c>
      <c r="D8" s="13">
        <f>C8</f>
        <v>24</v>
      </c>
    </row>
    <row r="10" spans="1:4" x14ac:dyDescent="0.3">
      <c r="A10" s="14" t="s">
        <v>67</v>
      </c>
    </row>
  </sheetData>
  <pageMargins left="0.75" right="0.75" top="1" bottom="1" header="0.5" footer="0.5"/>
  <pageSetup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D24"/>
  <sheetViews>
    <sheetView showGridLines="0" workbookViewId="0"/>
  </sheetViews>
  <sheetFormatPr defaultRowHeight="14.4" x14ac:dyDescent="0.3"/>
  <cols>
    <col min="1" max="1" width="58" customWidth="1"/>
    <col min="2" max="2" width="30" customWidth="1"/>
    <col min="3" max="3" width="15" customWidth="1"/>
    <col min="4" max="4" width="12" customWidth="1"/>
  </cols>
  <sheetData>
    <row r="1" spans="1:4" ht="16.8" x14ac:dyDescent="0.3">
      <c r="A1" s="5" t="s">
        <v>68</v>
      </c>
    </row>
    <row r="3" spans="1:4" ht="31.95" customHeight="1" x14ac:dyDescent="0.3">
      <c r="A3" s="6" t="s">
        <v>69</v>
      </c>
      <c r="B3" s="6" t="s">
        <v>70</v>
      </c>
      <c r="C3" s="6" t="s">
        <v>30</v>
      </c>
      <c r="D3" s="6" t="s">
        <v>31</v>
      </c>
    </row>
    <row r="4" spans="1:4" x14ac:dyDescent="0.3">
      <c r="A4" s="4" t="s">
        <v>71</v>
      </c>
      <c r="B4" s="4" t="s">
        <v>72</v>
      </c>
      <c r="C4" s="15">
        <f>N_ET*N_SEK*NKV_SEK</f>
        <v>66</v>
      </c>
      <c r="D4" s="4" t="s">
        <v>35</v>
      </c>
    </row>
    <row r="5" spans="1:4" x14ac:dyDescent="0.3">
      <c r="A5" s="4" t="s">
        <v>73</v>
      </c>
      <c r="B5" s="4" t="s">
        <v>74</v>
      </c>
      <c r="C5" s="16">
        <f>ROUNDUP(U_ZAS*N_KV-0.000000001,0)</f>
        <v>251</v>
      </c>
      <c r="D5" s="4" t="s">
        <v>75</v>
      </c>
    </row>
    <row r="6" spans="1:4" x14ac:dyDescent="0.3">
      <c r="A6" s="4" t="s">
        <v>76</v>
      </c>
      <c r="B6" s="4" t="s">
        <v>77</v>
      </c>
      <c r="C6" s="16">
        <f>N_PR*N_KV</f>
        <v>264</v>
      </c>
      <c r="D6" s="4" t="s">
        <v>35</v>
      </c>
    </row>
    <row r="7" spans="1:4" x14ac:dyDescent="0.3">
      <c r="A7" s="4" t="s">
        <v>78</v>
      </c>
      <c r="B7" s="4" t="s">
        <v>79</v>
      </c>
      <c r="C7" s="17">
        <f>QU_TOT*U_/1000</f>
        <v>45.18</v>
      </c>
      <c r="D7" s="4" t="s">
        <v>80</v>
      </c>
    </row>
    <row r="8" spans="1:4" x14ac:dyDescent="0.3">
      <c r="A8" s="4" t="s">
        <v>81</v>
      </c>
      <c r="B8" s="4" t="s">
        <v>82</v>
      </c>
      <c r="C8" s="17">
        <f>QU_C*U_/1000</f>
        <v>27.61</v>
      </c>
      <c r="D8" s="4" t="s">
        <v>80</v>
      </c>
    </row>
    <row r="9" spans="1:4" x14ac:dyDescent="0.3">
      <c r="A9" s="4" t="s">
        <v>83</v>
      </c>
      <c r="B9" s="4" t="s">
        <v>84</v>
      </c>
      <c r="C9" s="18">
        <f>QSUT_TOT/T_CH_TOT</f>
        <v>1.8825000000000001</v>
      </c>
      <c r="D9" s="4" t="s">
        <v>85</v>
      </c>
    </row>
    <row r="10" spans="1:4" x14ac:dyDescent="0.3">
      <c r="A10" s="4" t="s">
        <v>86</v>
      </c>
      <c r="B10" s="4" t="s">
        <v>87</v>
      </c>
      <c r="C10" s="18">
        <f>QSUT_C/T_CH_TOT</f>
        <v>1.1504166666666666</v>
      </c>
      <c r="D10" s="4" t="s">
        <v>85</v>
      </c>
    </row>
    <row r="11" spans="1:4" x14ac:dyDescent="0.3">
      <c r="A11" s="4" t="s">
        <v>88</v>
      </c>
      <c r="B11" s="4" t="s">
        <v>89</v>
      </c>
      <c r="C11" s="19">
        <f>QHR_TOT*U_/(3600*Q0_TOT*N_)</f>
        <v>1.0211840628507295E-2</v>
      </c>
      <c r="D11" s="4" t="s">
        <v>51</v>
      </c>
    </row>
    <row r="12" spans="1:4" x14ac:dyDescent="0.3">
      <c r="A12" s="4" t="s">
        <v>90</v>
      </c>
      <c r="B12" s="4" t="s">
        <v>91</v>
      </c>
      <c r="C12" s="19">
        <f>QHR_C*U_/(3600*Q0_C*N_)</f>
        <v>6.7345328282828274E-3</v>
      </c>
      <c r="D12" s="4" t="s">
        <v>51</v>
      </c>
    </row>
    <row r="13" spans="1:4" x14ac:dyDescent="0.3">
      <c r="A13" s="4" t="s">
        <v>92</v>
      </c>
      <c r="B13" s="4" t="s">
        <v>93</v>
      </c>
      <c r="C13" s="18">
        <f>N_*P_TOT</f>
        <v>2.6959259259259256</v>
      </c>
      <c r="D13" s="4" t="s">
        <v>51</v>
      </c>
    </row>
    <row r="14" spans="1:4" x14ac:dyDescent="0.3">
      <c r="A14" s="4" t="s">
        <v>94</v>
      </c>
      <c r="B14" s="4" t="s">
        <v>95</v>
      </c>
      <c r="C14" s="18">
        <f>IF(NP_TOT&lt;0.015,0.2,INDEX(B2_A,MATCH(NP_TOT,B2_NP,1))+(NP_TOT-INDEX(B2_NP,MATCH(NP_TOT,B2_NP,1)))*(INDEX(B2_A,MATCH(NP_TOT,B2_NP,1)+1)-INDEX(B2_A,MATCH(NP_TOT,B2_NP,1)))/(INDEX(B2_NP,MATCH(NP_TOT,B2_NP,1)+1)-INDEX(B2_NP,MATCH(NP_TOT,B2_NP,1))))</f>
        <v>1.7223703703703701</v>
      </c>
      <c r="D14" s="4" t="s">
        <v>51</v>
      </c>
    </row>
    <row r="15" spans="1:4" x14ac:dyDescent="0.3">
      <c r="A15" s="4" t="s">
        <v>96</v>
      </c>
      <c r="B15" s="4" t="s">
        <v>97</v>
      </c>
      <c r="C15" s="20">
        <f>5*Q0_TOT*A_TOT</f>
        <v>2.5835555555555549</v>
      </c>
      <c r="D15" s="4" t="s">
        <v>98</v>
      </c>
    </row>
    <row r="16" spans="1:4" x14ac:dyDescent="0.3">
      <c r="A16" s="4" t="s">
        <v>99</v>
      </c>
      <c r="B16" s="4" t="s">
        <v>100</v>
      </c>
      <c r="C16" s="18">
        <f>N_*P_C</f>
        <v>1.7779166666666664</v>
      </c>
      <c r="D16" s="4" t="s">
        <v>51</v>
      </c>
    </row>
    <row r="17" spans="1:4" x14ac:dyDescent="0.3">
      <c r="A17" s="4" t="s">
        <v>101</v>
      </c>
      <c r="B17" s="4" t="s">
        <v>102</v>
      </c>
      <c r="C17" s="18">
        <f>IF(NP_C&lt;0.015,0.2,INDEX(B2_A,MATCH(NP_C,B2_NP,1))+(NP_C-INDEX(B2_NP,MATCH(NP_C,B2_NP,1)))*(INDEX(B2_A,MATCH(NP_C,B2_NP,1)+1)-INDEX(B2_A,MATCH(NP_C,B2_NP,1)))/(INDEX(B2_NP,MATCH(NP_C,B2_NP,1)+1)-INDEX(B2_NP,MATCH(NP_C,B2_NP,1))))</f>
        <v>1.3402833333333333</v>
      </c>
      <c r="D17" s="4" t="s">
        <v>51</v>
      </c>
    </row>
    <row r="18" spans="1:4" x14ac:dyDescent="0.3">
      <c r="A18" s="4" t="s">
        <v>103</v>
      </c>
      <c r="B18" s="4" t="s">
        <v>104</v>
      </c>
      <c r="C18" s="20">
        <f>5*Q0_C*A_C</f>
        <v>1.3402833333333333</v>
      </c>
      <c r="D18" s="4" t="s">
        <v>98</v>
      </c>
    </row>
    <row r="19" spans="1:4" x14ac:dyDescent="0.3">
      <c r="A19" s="4" t="s">
        <v>105</v>
      </c>
      <c r="B19" s="4" t="s">
        <v>106</v>
      </c>
      <c r="C19" s="19">
        <f>3600*P_TOT*Q0_TOT/Q0HR_TOT</f>
        <v>3.6762626262626268E-2</v>
      </c>
      <c r="D19" s="4" t="s">
        <v>51</v>
      </c>
    </row>
    <row r="20" spans="1:4" x14ac:dyDescent="0.3">
      <c r="A20" s="4" t="s">
        <v>107</v>
      </c>
      <c r="B20" s="4" t="s">
        <v>108</v>
      </c>
      <c r="C20" s="18">
        <f>IF((N_*PHR_TOT)&lt;0.015,0.2,INDEX(B2_A,MATCH((N_*PHR_TOT),B2_NP,1))+((N_*PHR_TOT)-INDEX(B2_NP,MATCH((N_*PHR_TOT),B2_NP,1)))*(INDEX(B2_A,MATCH((N_*PHR_TOT),B2_NP,1)+1)-INDEX(B2_A,MATCH((N_*PHR_TOT),B2_NP,1)))/(INDEX(B2_NP,MATCH((N_*PHR_TOT),B2_NP,1)+1)-INDEX(B2_NP,MATCH((N_*PHR_TOT),B2_NP,1))))</f>
        <v>4.0386000000000006</v>
      </c>
      <c r="D20" s="4" t="s">
        <v>51</v>
      </c>
    </row>
    <row r="21" spans="1:4" x14ac:dyDescent="0.3">
      <c r="A21" s="4" t="s">
        <v>109</v>
      </c>
      <c r="B21" s="4" t="s">
        <v>110</v>
      </c>
      <c r="C21" s="20">
        <f>0.005*Q0HR_TOT*AHR_TOT</f>
        <v>6.057900000000001</v>
      </c>
      <c r="D21" s="4" t="s">
        <v>85</v>
      </c>
    </row>
    <row r="22" spans="1:4" x14ac:dyDescent="0.3">
      <c r="A22" s="4" t="s">
        <v>111</v>
      </c>
      <c r="B22" s="4" t="s">
        <v>112</v>
      </c>
      <c r="C22" s="19">
        <f>3600*P_C*Q0_C/Q0HR_C</f>
        <v>2.4244318181818179E-2</v>
      </c>
      <c r="D22" s="4" t="s">
        <v>51</v>
      </c>
    </row>
    <row r="23" spans="1:4" x14ac:dyDescent="0.3">
      <c r="A23" s="4" t="s">
        <v>113</v>
      </c>
      <c r="B23" s="4" t="s">
        <v>114</v>
      </c>
      <c r="C23" s="18">
        <f>IF((N_*PHR_C)&lt;0.015,0.2,INDEX(B2_A,MATCH((N_*PHR_C),B2_NP,1))+((N_*PHR_C)-INDEX(B2_NP,MATCH((N_*PHR_C),B2_NP,1)))*(INDEX(B2_A,MATCH((N_*PHR_C),B2_NP,1)+1)-INDEX(B2_A,MATCH((N_*PHR_C),B2_NP,1)))/(INDEX(B2_NP,MATCH((N_*PHR_C),B2_NP,1)+1)-INDEX(B2_NP,MATCH((N_*PHR_C),B2_NP,1))))</f>
        <v>3.0211599999999996</v>
      </c>
      <c r="D23" s="4" t="s">
        <v>51</v>
      </c>
    </row>
    <row r="24" spans="1:4" x14ac:dyDescent="0.3">
      <c r="A24" s="4" t="s">
        <v>115</v>
      </c>
      <c r="B24" s="4" t="s">
        <v>116</v>
      </c>
      <c r="C24" s="20">
        <f>0.005*Q0HR_C*AHR_C</f>
        <v>3.0211599999999996</v>
      </c>
      <c r="D24" s="4" t="s">
        <v>85</v>
      </c>
    </row>
  </sheetData>
  <pageMargins left="0.75" right="0.75" top="1" bottom="1" header="0.5" footer="0.5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Q27"/>
  <sheetViews>
    <sheetView showGridLines="0" workbookViewId="0"/>
  </sheetViews>
  <sheetFormatPr defaultRowHeight="14.4" x14ac:dyDescent="0.3"/>
  <cols>
    <col min="1" max="1" width="8" customWidth="1"/>
    <col min="2" max="2" width="36" customWidth="1"/>
    <col min="3" max="3" width="9" customWidth="1"/>
    <col min="4" max="4" width="7" customWidth="1"/>
    <col min="5" max="5" width="11" customWidth="1"/>
    <col min="6" max="8" width="9" customWidth="1"/>
    <col min="9" max="9" width="7" customWidth="1"/>
    <col min="10" max="10" width="10" customWidth="1"/>
    <col min="11" max="11" width="9" customWidth="1"/>
    <col min="12" max="12" width="10" customWidth="1"/>
    <col min="13" max="14" width="9" customWidth="1"/>
    <col min="15" max="15" width="3" customWidth="1"/>
    <col min="16" max="16" width="7" customWidth="1"/>
    <col min="17" max="17" width="10" customWidth="1"/>
  </cols>
  <sheetData>
    <row r="1" spans="1:17" ht="16.8" x14ac:dyDescent="0.3">
      <c r="A1" s="5" t="s">
        <v>117</v>
      </c>
    </row>
    <row r="3" spans="1:17" ht="31.95" customHeight="1" x14ac:dyDescent="0.3">
      <c r="A3" s="6" t="s">
        <v>118</v>
      </c>
      <c r="B3" s="6" t="s">
        <v>119</v>
      </c>
      <c r="C3" s="6" t="s">
        <v>120</v>
      </c>
      <c r="D3" s="6" t="s">
        <v>121</v>
      </c>
      <c r="E3" s="6" t="s">
        <v>122</v>
      </c>
      <c r="F3" s="6" t="s">
        <v>123</v>
      </c>
      <c r="G3" s="6" t="s">
        <v>124</v>
      </c>
      <c r="H3" s="6" t="s">
        <v>125</v>
      </c>
      <c r="I3" s="6" t="s">
        <v>126</v>
      </c>
      <c r="J3" s="6" t="s">
        <v>127</v>
      </c>
      <c r="K3" s="6" t="s">
        <v>128</v>
      </c>
      <c r="L3" s="6" t="s">
        <v>129</v>
      </c>
      <c r="M3" s="6" t="s">
        <v>130</v>
      </c>
      <c r="N3" s="6" t="s">
        <v>131</v>
      </c>
      <c r="P3" s="21" t="s">
        <v>126</v>
      </c>
      <c r="Q3" s="21" t="s">
        <v>132</v>
      </c>
    </row>
    <row r="4" spans="1:17" x14ac:dyDescent="0.3">
      <c r="A4" s="4" t="s">
        <v>133</v>
      </c>
      <c r="B4" s="4" t="s">
        <v>134</v>
      </c>
      <c r="C4" s="10">
        <v>1.65</v>
      </c>
      <c r="D4" s="8">
        <v>1</v>
      </c>
      <c r="E4" s="19">
        <f t="shared" ref="E4:E23" si="0">P_C</f>
        <v>6.7345328282828274E-3</v>
      </c>
      <c r="F4" s="22">
        <f t="shared" ref="F4:F23" si="1">D4*E4</f>
        <v>6.7345328282828274E-3</v>
      </c>
      <c r="G4" s="18">
        <f t="shared" ref="G4:G23" si="2">IF(F4&lt;0.015,0.2,INDEX(B2_A,MATCH(F4,B2_NP,1))+(F4-INDEX(B2_NP,MATCH(F4,B2_NP,1)))*(INDEX(B2_A,MATCH(F4,B2_NP,1)+1)-INDEX(B2_A,MATCH(F4,B2_NP,1)))/(INDEX(B2_NP,MATCH(F4,B2_NP,1)+1)-INDEX(B2_NP,MATCH(F4,B2_NP,1))))</f>
        <v>0.2</v>
      </c>
      <c r="H4" s="18">
        <f t="shared" ref="H4:H23" si="3">5*Q0_C*G4</f>
        <v>0.2</v>
      </c>
      <c r="I4" s="8">
        <v>15</v>
      </c>
      <c r="J4" s="23">
        <f t="shared" ref="J4:J23" si="4">INDEX(VGP_D,MATCH(I4,VGP_DN,0))-1</f>
        <v>14.7</v>
      </c>
      <c r="K4" s="24">
        <f t="shared" ref="K4:K23" si="5">H4/1000/(PI()*(J4/1000)^2/4)</f>
        <v>1.178434490013571</v>
      </c>
      <c r="L4" s="22">
        <f t="shared" ref="L4:L23" si="6">IF(K4&lt;1.2,0.000912*K4^2/(J4/1000)^1.3*(1+0.867/K4)^0.3,0.00107*K4^2/(J4/1000)^1.3)</f>
        <v>0.36052653261983458</v>
      </c>
      <c r="M4" s="18">
        <f t="shared" ref="M4:M23" si="7">L4*C4</f>
        <v>0.59486877882272704</v>
      </c>
      <c r="N4" s="18">
        <f t="shared" ref="N4:N23" si="8">M4*(1+K_L)</f>
        <v>0.77332941246954523</v>
      </c>
      <c r="P4" s="15">
        <v>15</v>
      </c>
      <c r="Q4" s="23">
        <v>15.7</v>
      </c>
    </row>
    <row r="5" spans="1:17" x14ac:dyDescent="0.3">
      <c r="A5" s="4" t="s">
        <v>135</v>
      </c>
      <c r="B5" s="4" t="s">
        <v>134</v>
      </c>
      <c r="C5" s="10">
        <v>0.95</v>
      </c>
      <c r="D5" s="8">
        <v>3</v>
      </c>
      <c r="E5" s="19">
        <f t="shared" si="0"/>
        <v>6.7345328282828274E-3</v>
      </c>
      <c r="F5" s="22">
        <f t="shared" si="1"/>
        <v>2.0203598484848484E-2</v>
      </c>
      <c r="G5" s="18">
        <f t="shared" si="2"/>
        <v>0.21540719696969696</v>
      </c>
      <c r="H5" s="18">
        <f t="shared" si="3"/>
        <v>0.21540719696969696</v>
      </c>
      <c r="I5" s="8">
        <v>15</v>
      </c>
      <c r="J5" s="23">
        <f t="shared" si="4"/>
        <v>14.7</v>
      </c>
      <c r="K5" s="24">
        <f t="shared" si="5"/>
        <v>1.2692163515311883</v>
      </c>
      <c r="L5" s="22">
        <f t="shared" si="6"/>
        <v>0.41585560522895071</v>
      </c>
      <c r="M5" s="18">
        <f t="shared" si="7"/>
        <v>0.39506282496750317</v>
      </c>
      <c r="N5" s="18">
        <f t="shared" si="8"/>
        <v>0.5135816724577541</v>
      </c>
      <c r="P5" s="15">
        <v>20</v>
      </c>
      <c r="Q5" s="23">
        <v>21.2</v>
      </c>
    </row>
    <row r="6" spans="1:17" x14ac:dyDescent="0.3">
      <c r="A6" s="4" t="s">
        <v>136</v>
      </c>
      <c r="B6" s="4" t="s">
        <v>134</v>
      </c>
      <c r="C6" s="10">
        <v>1.2</v>
      </c>
      <c r="D6" s="8">
        <v>4</v>
      </c>
      <c r="E6" s="19">
        <f t="shared" si="0"/>
        <v>6.7345328282828274E-3</v>
      </c>
      <c r="F6" s="22">
        <f t="shared" si="1"/>
        <v>2.693813131313131E-2</v>
      </c>
      <c r="G6" s="18">
        <f t="shared" si="2"/>
        <v>0.22987626262626262</v>
      </c>
      <c r="H6" s="18">
        <f t="shared" si="3"/>
        <v>0.22987626262626262</v>
      </c>
      <c r="I6" s="8">
        <v>15</v>
      </c>
      <c r="J6" s="23">
        <f t="shared" si="4"/>
        <v>14.7</v>
      </c>
      <c r="K6" s="24">
        <f t="shared" si="5"/>
        <v>1.3544705815710274</v>
      </c>
      <c r="L6" s="22">
        <f t="shared" si="6"/>
        <v>0.4735985849851545</v>
      </c>
      <c r="M6" s="18">
        <f t="shared" si="7"/>
        <v>0.56831830198218536</v>
      </c>
      <c r="N6" s="18">
        <f t="shared" si="8"/>
        <v>0.73881379257684099</v>
      </c>
      <c r="P6" s="15">
        <v>25</v>
      </c>
      <c r="Q6" s="23">
        <v>27.1</v>
      </c>
    </row>
    <row r="7" spans="1:17" x14ac:dyDescent="0.3">
      <c r="A7" s="4" t="s">
        <v>137</v>
      </c>
      <c r="B7" s="4" t="s">
        <v>138</v>
      </c>
      <c r="C7" s="10">
        <v>3.2</v>
      </c>
      <c r="D7" s="8">
        <v>4</v>
      </c>
      <c r="E7" s="19">
        <f t="shared" si="0"/>
        <v>6.7345328282828274E-3</v>
      </c>
      <c r="F7" s="22">
        <f t="shared" si="1"/>
        <v>2.693813131313131E-2</v>
      </c>
      <c r="G7" s="18">
        <f t="shared" si="2"/>
        <v>0.22987626262626262</v>
      </c>
      <c r="H7" s="18">
        <f t="shared" si="3"/>
        <v>0.22987626262626262</v>
      </c>
      <c r="I7" s="8">
        <v>25</v>
      </c>
      <c r="J7" s="23">
        <f t="shared" si="4"/>
        <v>26.1</v>
      </c>
      <c r="K7" s="24">
        <f t="shared" si="5"/>
        <v>0.42965832558489048</v>
      </c>
      <c r="L7" s="22">
        <f t="shared" si="6"/>
        <v>2.6823740467391031E-2</v>
      </c>
      <c r="M7" s="18">
        <f t="shared" si="7"/>
        <v>8.583596949565131E-2</v>
      </c>
      <c r="N7" s="18">
        <f t="shared" si="8"/>
        <v>0.11158676034434671</v>
      </c>
      <c r="P7" s="15">
        <v>32</v>
      </c>
      <c r="Q7" s="23">
        <v>35.9</v>
      </c>
    </row>
    <row r="8" spans="1:17" x14ac:dyDescent="0.3">
      <c r="A8" s="4" t="s">
        <v>139</v>
      </c>
      <c r="B8" s="4" t="s">
        <v>140</v>
      </c>
      <c r="C8" s="10">
        <v>3.2</v>
      </c>
      <c r="D8" s="8">
        <v>8</v>
      </c>
      <c r="E8" s="19">
        <f t="shared" si="0"/>
        <v>6.7345328282828274E-3</v>
      </c>
      <c r="F8" s="22">
        <f t="shared" si="1"/>
        <v>5.3876262626262619E-2</v>
      </c>
      <c r="G8" s="18">
        <f t="shared" si="2"/>
        <v>0.27975252525252525</v>
      </c>
      <c r="H8" s="18">
        <f t="shared" si="3"/>
        <v>0.27975252525252525</v>
      </c>
      <c r="I8" s="8">
        <v>25</v>
      </c>
      <c r="J8" s="23">
        <f t="shared" si="4"/>
        <v>26.1</v>
      </c>
      <c r="K8" s="24">
        <f t="shared" si="5"/>
        <v>0.52288131103629909</v>
      </c>
      <c r="L8" s="22">
        <f t="shared" si="6"/>
        <v>3.8242017544986288E-2</v>
      </c>
      <c r="M8" s="18">
        <f t="shared" si="7"/>
        <v>0.12237445614395613</v>
      </c>
      <c r="N8" s="18">
        <f t="shared" si="8"/>
        <v>0.15908679298714298</v>
      </c>
      <c r="P8" s="15">
        <v>40</v>
      </c>
      <c r="Q8" s="23">
        <v>41</v>
      </c>
    </row>
    <row r="9" spans="1:17" x14ac:dyDescent="0.3">
      <c r="A9" s="4" t="s">
        <v>141</v>
      </c>
      <c r="B9" s="4" t="s">
        <v>142</v>
      </c>
      <c r="C9" s="10">
        <v>3.2</v>
      </c>
      <c r="D9" s="8">
        <v>12</v>
      </c>
      <c r="E9" s="19">
        <f t="shared" si="0"/>
        <v>6.7345328282828274E-3</v>
      </c>
      <c r="F9" s="22">
        <f t="shared" si="1"/>
        <v>8.0814393939393936E-2</v>
      </c>
      <c r="G9" s="18">
        <f t="shared" si="2"/>
        <v>0.31881439393939393</v>
      </c>
      <c r="H9" s="18">
        <f t="shared" si="3"/>
        <v>0.31881439393939393</v>
      </c>
      <c r="I9" s="8">
        <v>25</v>
      </c>
      <c r="J9" s="23">
        <f t="shared" si="4"/>
        <v>26.1</v>
      </c>
      <c r="K9" s="24">
        <f t="shared" si="5"/>
        <v>0.59589127258027719</v>
      </c>
      <c r="L9" s="22">
        <f t="shared" si="6"/>
        <v>4.8496426188346084E-2</v>
      </c>
      <c r="M9" s="18">
        <f t="shared" si="7"/>
        <v>0.15518856380270749</v>
      </c>
      <c r="N9" s="18">
        <f t="shared" si="8"/>
        <v>0.20174513294351973</v>
      </c>
      <c r="P9" s="15">
        <v>50</v>
      </c>
      <c r="Q9" s="23">
        <v>53</v>
      </c>
    </row>
    <row r="10" spans="1:17" x14ac:dyDescent="0.3">
      <c r="A10" s="4" t="s">
        <v>143</v>
      </c>
      <c r="B10" s="4" t="s">
        <v>144</v>
      </c>
      <c r="C10" s="10">
        <v>3.2</v>
      </c>
      <c r="D10" s="8">
        <v>16</v>
      </c>
      <c r="E10" s="19">
        <f t="shared" si="0"/>
        <v>6.7345328282828274E-3</v>
      </c>
      <c r="F10" s="22">
        <f t="shared" si="1"/>
        <v>0.10775252525252524</v>
      </c>
      <c r="G10" s="18">
        <f t="shared" si="2"/>
        <v>0.35230303030303028</v>
      </c>
      <c r="H10" s="18">
        <f t="shared" si="3"/>
        <v>0.35230303030303028</v>
      </c>
      <c r="I10" s="8">
        <v>25</v>
      </c>
      <c r="J10" s="23">
        <f t="shared" si="4"/>
        <v>26.1</v>
      </c>
      <c r="K10" s="24">
        <f t="shared" si="5"/>
        <v>0.65848438794475761</v>
      </c>
      <c r="L10" s="22">
        <f t="shared" si="6"/>
        <v>5.8198505124103378E-2</v>
      </c>
      <c r="M10" s="18">
        <f t="shared" si="7"/>
        <v>0.18623521639713081</v>
      </c>
      <c r="N10" s="18">
        <f t="shared" si="8"/>
        <v>0.24210578131627006</v>
      </c>
      <c r="P10" s="15">
        <v>65</v>
      </c>
      <c r="Q10" s="23">
        <v>67.5</v>
      </c>
    </row>
    <row r="11" spans="1:17" x14ac:dyDescent="0.3">
      <c r="A11" s="4" t="s">
        <v>145</v>
      </c>
      <c r="B11" s="4" t="s">
        <v>146</v>
      </c>
      <c r="C11" s="10">
        <v>3.2</v>
      </c>
      <c r="D11" s="8">
        <v>20</v>
      </c>
      <c r="E11" s="19">
        <f t="shared" si="0"/>
        <v>6.7345328282828274E-3</v>
      </c>
      <c r="F11" s="22">
        <f t="shared" si="1"/>
        <v>0.13469065656565654</v>
      </c>
      <c r="G11" s="18">
        <f t="shared" si="2"/>
        <v>0.38362878787878785</v>
      </c>
      <c r="H11" s="18">
        <f t="shared" si="3"/>
        <v>0.38362878787878785</v>
      </c>
      <c r="I11" s="8">
        <v>25</v>
      </c>
      <c r="J11" s="23">
        <f t="shared" si="4"/>
        <v>26.1</v>
      </c>
      <c r="K11" s="24">
        <f t="shared" si="5"/>
        <v>0.71703489852775204</v>
      </c>
      <c r="L11" s="22">
        <f t="shared" si="6"/>
        <v>6.8031508589048051E-2</v>
      </c>
      <c r="M11" s="18">
        <f t="shared" si="7"/>
        <v>0.21770082748495378</v>
      </c>
      <c r="N11" s="18">
        <f t="shared" si="8"/>
        <v>0.28301107573043993</v>
      </c>
      <c r="P11" s="15">
        <v>80</v>
      </c>
      <c r="Q11" s="23">
        <v>80.5</v>
      </c>
    </row>
    <row r="12" spans="1:17" x14ac:dyDescent="0.3">
      <c r="A12" s="4" t="s">
        <v>147</v>
      </c>
      <c r="B12" s="4" t="s">
        <v>148</v>
      </c>
      <c r="C12" s="10">
        <v>3.2</v>
      </c>
      <c r="D12" s="8">
        <v>24</v>
      </c>
      <c r="E12" s="19">
        <f t="shared" si="0"/>
        <v>6.7345328282828274E-3</v>
      </c>
      <c r="F12" s="22">
        <f t="shared" si="1"/>
        <v>0.16162878787878787</v>
      </c>
      <c r="G12" s="18">
        <f t="shared" si="2"/>
        <v>0.41162878787878787</v>
      </c>
      <c r="H12" s="18">
        <f t="shared" si="3"/>
        <v>0.41162878787878787</v>
      </c>
      <c r="I12" s="8">
        <v>25</v>
      </c>
      <c r="J12" s="23">
        <f t="shared" si="4"/>
        <v>26.1</v>
      </c>
      <c r="K12" s="24">
        <f t="shared" si="5"/>
        <v>0.76936928477073818</v>
      </c>
      <c r="L12" s="22">
        <f t="shared" si="6"/>
        <v>7.7438299856969803E-2</v>
      </c>
      <c r="M12" s="18">
        <f t="shared" si="7"/>
        <v>0.24780255954230337</v>
      </c>
      <c r="N12" s="18">
        <f t="shared" si="8"/>
        <v>0.32214332740499441</v>
      </c>
      <c r="P12" s="15">
        <v>100</v>
      </c>
      <c r="Q12" s="23">
        <v>105</v>
      </c>
    </row>
    <row r="13" spans="1:17" x14ac:dyDescent="0.3">
      <c r="A13" s="4" t="s">
        <v>149</v>
      </c>
      <c r="B13" s="4" t="s">
        <v>150</v>
      </c>
      <c r="C13" s="10">
        <v>3.2</v>
      </c>
      <c r="D13" s="8">
        <v>28</v>
      </c>
      <c r="E13" s="19">
        <f t="shared" si="0"/>
        <v>6.7345328282828274E-3</v>
      </c>
      <c r="F13" s="22">
        <f t="shared" si="1"/>
        <v>0.18856691919191917</v>
      </c>
      <c r="G13" s="18">
        <f t="shared" si="2"/>
        <v>0.43785353535353533</v>
      </c>
      <c r="H13" s="18">
        <f t="shared" si="3"/>
        <v>0.43785353535353533</v>
      </c>
      <c r="I13" s="8">
        <v>25</v>
      </c>
      <c r="J13" s="23">
        <f t="shared" si="4"/>
        <v>26.1</v>
      </c>
      <c r="K13" s="24">
        <f t="shared" si="5"/>
        <v>0.81838557275174562</v>
      </c>
      <c r="L13" s="22">
        <f t="shared" si="6"/>
        <v>8.6776174453376737E-2</v>
      </c>
      <c r="M13" s="18">
        <f t="shared" si="7"/>
        <v>0.27768375825080555</v>
      </c>
      <c r="N13" s="18">
        <f t="shared" si="8"/>
        <v>0.3609888857260472</v>
      </c>
    </row>
    <row r="14" spans="1:17" x14ac:dyDescent="0.3">
      <c r="A14" s="4" t="s">
        <v>151</v>
      </c>
      <c r="B14" s="4" t="s">
        <v>152</v>
      </c>
      <c r="C14" s="10">
        <v>3.2</v>
      </c>
      <c r="D14" s="8">
        <v>32</v>
      </c>
      <c r="E14" s="19">
        <f t="shared" si="0"/>
        <v>6.7345328282828274E-3</v>
      </c>
      <c r="F14" s="22">
        <f t="shared" si="1"/>
        <v>0.21550505050505048</v>
      </c>
      <c r="G14" s="18">
        <f t="shared" si="2"/>
        <v>0.46295454545454545</v>
      </c>
      <c r="H14" s="18">
        <f t="shared" si="3"/>
        <v>0.46295454545454545</v>
      </c>
      <c r="I14" s="8">
        <v>25</v>
      </c>
      <c r="J14" s="23">
        <f t="shared" si="4"/>
        <v>26.1</v>
      </c>
      <c r="K14" s="24">
        <f t="shared" si="5"/>
        <v>0.86530149981300852</v>
      </c>
      <c r="L14" s="22">
        <f t="shared" si="6"/>
        <v>9.6190880292836498E-2</v>
      </c>
      <c r="M14" s="18">
        <f t="shared" si="7"/>
        <v>0.30781081693707679</v>
      </c>
      <c r="N14" s="18">
        <f t="shared" si="8"/>
        <v>0.40015406201819986</v>
      </c>
    </row>
    <row r="15" spans="1:17" x14ac:dyDescent="0.3">
      <c r="A15" s="4" t="s">
        <v>153</v>
      </c>
      <c r="B15" s="4" t="s">
        <v>154</v>
      </c>
      <c r="C15" s="10">
        <v>3.2</v>
      </c>
      <c r="D15" s="8">
        <v>36</v>
      </c>
      <c r="E15" s="19">
        <f t="shared" si="0"/>
        <v>6.7345328282828274E-3</v>
      </c>
      <c r="F15" s="22">
        <f t="shared" si="1"/>
        <v>0.24244318181818178</v>
      </c>
      <c r="G15" s="18">
        <f t="shared" si="2"/>
        <v>0.48695454545454542</v>
      </c>
      <c r="H15" s="18">
        <f t="shared" si="3"/>
        <v>0.48695454545454542</v>
      </c>
      <c r="I15" s="8">
        <v>25</v>
      </c>
      <c r="J15" s="23">
        <f t="shared" si="4"/>
        <v>26.1</v>
      </c>
      <c r="K15" s="24">
        <f t="shared" si="5"/>
        <v>0.91015954516413933</v>
      </c>
      <c r="L15" s="22">
        <f t="shared" si="6"/>
        <v>0.10562820557908614</v>
      </c>
      <c r="M15" s="18">
        <f t="shared" si="7"/>
        <v>0.3380102578530757</v>
      </c>
      <c r="N15" s="18">
        <f t="shared" si="8"/>
        <v>0.43941333520899845</v>
      </c>
    </row>
    <row r="16" spans="1:17" x14ac:dyDescent="0.3">
      <c r="A16" s="4" t="s">
        <v>155</v>
      </c>
      <c r="B16" s="4" t="s">
        <v>156</v>
      </c>
      <c r="C16" s="10">
        <v>3.2</v>
      </c>
      <c r="D16" s="8">
        <v>40</v>
      </c>
      <c r="E16" s="19">
        <f t="shared" si="0"/>
        <v>6.7345328282828274E-3</v>
      </c>
      <c r="F16" s="22">
        <f t="shared" si="1"/>
        <v>0.26938131313131308</v>
      </c>
      <c r="G16" s="18">
        <f t="shared" si="2"/>
        <v>0.50950505050505046</v>
      </c>
      <c r="H16" s="18">
        <f t="shared" si="3"/>
        <v>0.50950505050505046</v>
      </c>
      <c r="I16" s="8">
        <v>25</v>
      </c>
      <c r="J16" s="23">
        <f t="shared" si="4"/>
        <v>26.1</v>
      </c>
      <c r="K16" s="24">
        <f t="shared" si="5"/>
        <v>0.95230836092440863</v>
      </c>
      <c r="L16" s="22">
        <f t="shared" si="6"/>
        <v>0.11488305840858686</v>
      </c>
      <c r="M16" s="18">
        <f t="shared" si="7"/>
        <v>0.36762578690747794</v>
      </c>
      <c r="N16" s="18">
        <f t="shared" si="8"/>
        <v>0.47791352297972134</v>
      </c>
    </row>
    <row r="17" spans="1:14" x14ac:dyDescent="0.3">
      <c r="A17" s="4" t="s">
        <v>157</v>
      </c>
      <c r="B17" s="4" t="s">
        <v>158</v>
      </c>
      <c r="C17" s="10">
        <v>3.05</v>
      </c>
      <c r="D17" s="8">
        <v>44</v>
      </c>
      <c r="E17" s="19">
        <f t="shared" si="0"/>
        <v>6.7345328282828274E-3</v>
      </c>
      <c r="F17" s="22">
        <f t="shared" si="1"/>
        <v>0.29631944444444441</v>
      </c>
      <c r="G17" s="18">
        <f t="shared" si="2"/>
        <v>0.53105555555555561</v>
      </c>
      <c r="H17" s="18">
        <f t="shared" si="3"/>
        <v>0.53105555555555561</v>
      </c>
      <c r="I17" s="8">
        <v>25</v>
      </c>
      <c r="J17" s="23">
        <f t="shared" si="4"/>
        <v>26.1</v>
      </c>
      <c r="K17" s="24">
        <f t="shared" si="5"/>
        <v>0.99258809146171434</v>
      </c>
      <c r="L17" s="22">
        <f t="shared" si="6"/>
        <v>0.12407794970658688</v>
      </c>
      <c r="M17" s="18">
        <f t="shared" si="7"/>
        <v>0.37843774660508994</v>
      </c>
      <c r="N17" s="18">
        <f t="shared" si="8"/>
        <v>0.49196907058661693</v>
      </c>
    </row>
    <row r="18" spans="1:14" x14ac:dyDescent="0.3">
      <c r="A18" s="4" t="s">
        <v>159</v>
      </c>
      <c r="B18" s="4" t="s">
        <v>160</v>
      </c>
      <c r="C18" s="10">
        <v>14.54</v>
      </c>
      <c r="D18" s="8">
        <v>44</v>
      </c>
      <c r="E18" s="19">
        <f t="shared" si="0"/>
        <v>6.7345328282828274E-3</v>
      </c>
      <c r="F18" s="22">
        <f t="shared" si="1"/>
        <v>0.29631944444444441</v>
      </c>
      <c r="G18" s="18">
        <f t="shared" si="2"/>
        <v>0.53105555555555561</v>
      </c>
      <c r="H18" s="18">
        <f t="shared" si="3"/>
        <v>0.53105555555555561</v>
      </c>
      <c r="I18" s="8">
        <v>32</v>
      </c>
      <c r="J18" s="23">
        <f t="shared" si="4"/>
        <v>34.9</v>
      </c>
      <c r="K18" s="24">
        <f t="shared" si="5"/>
        <v>0.55513578195961821</v>
      </c>
      <c r="L18" s="22">
        <f t="shared" si="6"/>
        <v>2.9220172703612955E-2</v>
      </c>
      <c r="M18" s="18">
        <f t="shared" si="7"/>
        <v>0.42486131111053232</v>
      </c>
      <c r="N18" s="18">
        <f t="shared" si="8"/>
        <v>0.55231970444369205</v>
      </c>
    </row>
    <row r="19" spans="1:14" x14ac:dyDescent="0.3">
      <c r="A19" s="4" t="s">
        <v>161</v>
      </c>
      <c r="B19" s="4" t="s">
        <v>162</v>
      </c>
      <c r="C19" s="10">
        <v>1.17</v>
      </c>
      <c r="D19" s="8">
        <v>88</v>
      </c>
      <c r="E19" s="19">
        <f t="shared" si="0"/>
        <v>6.7345328282828274E-3</v>
      </c>
      <c r="F19" s="22">
        <f t="shared" si="1"/>
        <v>0.59263888888888883</v>
      </c>
      <c r="G19" s="18">
        <f t="shared" si="2"/>
        <v>0.73758333333333326</v>
      </c>
      <c r="H19" s="18">
        <f t="shared" si="3"/>
        <v>0.73758333333333326</v>
      </c>
      <c r="I19" s="8">
        <v>32</v>
      </c>
      <c r="J19" s="23">
        <f t="shared" si="4"/>
        <v>34.9</v>
      </c>
      <c r="K19" s="24">
        <f t="shared" si="5"/>
        <v>0.7710283721296024</v>
      </c>
      <c r="L19" s="22">
        <f t="shared" si="6"/>
        <v>5.3289030642038493E-2</v>
      </c>
      <c r="M19" s="18">
        <f t="shared" si="7"/>
        <v>6.2348165851185036E-2</v>
      </c>
      <c r="N19" s="18">
        <f t="shared" si="8"/>
        <v>8.1052615606540548E-2</v>
      </c>
    </row>
    <row r="20" spans="1:14" x14ac:dyDescent="0.3">
      <c r="A20" s="4" t="s">
        <v>163</v>
      </c>
      <c r="B20" s="4" t="s">
        <v>164</v>
      </c>
      <c r="C20" s="10">
        <v>12.88</v>
      </c>
      <c r="D20" s="8">
        <v>132</v>
      </c>
      <c r="E20" s="19">
        <f t="shared" si="0"/>
        <v>6.7345328282828274E-3</v>
      </c>
      <c r="F20" s="22">
        <f t="shared" si="1"/>
        <v>0.88895833333333318</v>
      </c>
      <c r="G20" s="18">
        <f t="shared" si="2"/>
        <v>0.90992708333333328</v>
      </c>
      <c r="H20" s="18">
        <f t="shared" si="3"/>
        <v>0.90992708333333328</v>
      </c>
      <c r="I20" s="8">
        <v>32</v>
      </c>
      <c r="J20" s="23">
        <f t="shared" si="4"/>
        <v>34.9</v>
      </c>
      <c r="K20" s="24">
        <f t="shared" si="5"/>
        <v>0.95118689117948763</v>
      </c>
      <c r="L20" s="22">
        <f t="shared" si="6"/>
        <v>7.8571545510190466E-2</v>
      </c>
      <c r="M20" s="18">
        <f t="shared" si="7"/>
        <v>1.0120015061712533</v>
      </c>
      <c r="N20" s="18">
        <f t="shared" si="8"/>
        <v>1.3156019580226292</v>
      </c>
    </row>
    <row r="21" spans="1:14" x14ac:dyDescent="0.3">
      <c r="A21" s="4" t="s">
        <v>165</v>
      </c>
      <c r="B21" s="4" t="s">
        <v>166</v>
      </c>
      <c r="C21" s="10">
        <v>1.17</v>
      </c>
      <c r="D21" s="8">
        <v>176</v>
      </c>
      <c r="E21" s="19">
        <f t="shared" si="0"/>
        <v>6.7345328282828274E-3</v>
      </c>
      <c r="F21" s="22">
        <f t="shared" si="1"/>
        <v>1.1852777777777777</v>
      </c>
      <c r="G21" s="18">
        <f t="shared" si="2"/>
        <v>1.0636388888888888</v>
      </c>
      <c r="H21" s="18">
        <f t="shared" si="3"/>
        <v>1.0636388888888888</v>
      </c>
      <c r="I21" s="8">
        <v>32</v>
      </c>
      <c r="J21" s="23">
        <f t="shared" si="4"/>
        <v>34.9</v>
      </c>
      <c r="K21" s="24">
        <f t="shared" si="5"/>
        <v>1.1118686173771175</v>
      </c>
      <c r="L21" s="22">
        <f t="shared" si="6"/>
        <v>0.10508428526044068</v>
      </c>
      <c r="M21" s="18">
        <f t="shared" si="7"/>
        <v>0.12294861375471559</v>
      </c>
      <c r="N21" s="18">
        <f t="shared" si="8"/>
        <v>0.15983319788113029</v>
      </c>
    </row>
    <row r="22" spans="1:14" x14ac:dyDescent="0.3">
      <c r="A22" s="4" t="s">
        <v>167</v>
      </c>
      <c r="B22" s="4" t="s">
        <v>168</v>
      </c>
      <c r="C22" s="10">
        <v>11.115</v>
      </c>
      <c r="D22" s="8">
        <v>220</v>
      </c>
      <c r="E22" s="19">
        <f t="shared" si="0"/>
        <v>6.7345328282828274E-3</v>
      </c>
      <c r="F22" s="22">
        <f t="shared" si="1"/>
        <v>1.481597222222222</v>
      </c>
      <c r="G22" s="18">
        <f t="shared" si="2"/>
        <v>1.2061666666666666</v>
      </c>
      <c r="H22" s="18">
        <f t="shared" si="3"/>
        <v>1.2061666666666666</v>
      </c>
      <c r="I22" s="8">
        <v>40</v>
      </c>
      <c r="J22" s="23">
        <f t="shared" si="4"/>
        <v>40</v>
      </c>
      <c r="K22" s="24">
        <f t="shared" si="5"/>
        <v>0.95983693596337205</v>
      </c>
      <c r="L22" s="22">
        <f t="shared" si="6"/>
        <v>6.6921006429447913E-2</v>
      </c>
      <c r="M22" s="18">
        <f t="shared" si="7"/>
        <v>0.74382698646331358</v>
      </c>
      <c r="N22" s="18">
        <f t="shared" si="8"/>
        <v>0.96697508240230767</v>
      </c>
    </row>
    <row r="23" spans="1:14" ht="27.6" x14ac:dyDescent="0.3">
      <c r="A23" s="4" t="s">
        <v>169</v>
      </c>
      <c r="B23" s="4" t="s">
        <v>170</v>
      </c>
      <c r="C23" s="10">
        <v>5.68</v>
      </c>
      <c r="D23" s="8">
        <v>264</v>
      </c>
      <c r="E23" s="19">
        <f t="shared" si="0"/>
        <v>6.7345328282828274E-3</v>
      </c>
      <c r="F23" s="22">
        <f t="shared" si="1"/>
        <v>1.7779166666666664</v>
      </c>
      <c r="G23" s="18">
        <f t="shared" si="2"/>
        <v>1.3402833333333333</v>
      </c>
      <c r="H23" s="18">
        <f t="shared" si="3"/>
        <v>1.3402833333333333</v>
      </c>
      <c r="I23" s="8">
        <v>50</v>
      </c>
      <c r="J23" s="23">
        <f t="shared" si="4"/>
        <v>52</v>
      </c>
      <c r="K23" s="24">
        <f t="shared" si="5"/>
        <v>0.63110271492213754</v>
      </c>
      <c r="L23" s="22">
        <f t="shared" si="6"/>
        <v>2.1979765329624902E-2</v>
      </c>
      <c r="M23" s="18">
        <f t="shared" si="7"/>
        <v>0.12484506707226944</v>
      </c>
      <c r="N23" s="18">
        <f t="shared" si="8"/>
        <v>0.16229858719395029</v>
      </c>
    </row>
    <row r="24" spans="1:14" ht="27.6" x14ac:dyDescent="0.3">
      <c r="B24" s="3" t="s">
        <v>171</v>
      </c>
      <c r="N24" s="17">
        <f>SUM(N4:N23)</f>
        <v>8.7539237703006858</v>
      </c>
    </row>
    <row r="26" spans="1:14" ht="28.05" customHeight="1" x14ac:dyDescent="0.3">
      <c r="A26" s="31" t="s">
        <v>172</v>
      </c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</row>
    <row r="27" spans="1:14" x14ac:dyDescent="0.3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</row>
  </sheetData>
  <mergeCells count="1">
    <mergeCell ref="A26:N27"/>
  </mergeCells>
  <pageMargins left="0.75" right="0.75" top="1" bottom="1" header="0.5" footer="0.5"/>
  <pageSetup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C21"/>
  <sheetViews>
    <sheetView showGridLines="0" workbookViewId="0"/>
  </sheetViews>
  <sheetFormatPr defaultRowHeight="14.4" x14ac:dyDescent="0.3"/>
  <cols>
    <col min="1" max="1" width="52" customWidth="1"/>
    <col min="2" max="2" width="16" customWidth="1"/>
    <col min="3" max="3" width="12" customWidth="1"/>
  </cols>
  <sheetData>
    <row r="1" spans="1:3" ht="16.8" x14ac:dyDescent="0.3">
      <c r="A1" s="5" t="s">
        <v>173</v>
      </c>
    </row>
    <row r="3" spans="1:3" ht="31.95" customHeight="1" x14ac:dyDescent="0.3">
      <c r="A3" s="6" t="s">
        <v>69</v>
      </c>
      <c r="B3" s="6" t="s">
        <v>30</v>
      </c>
      <c r="C3" s="6" t="s">
        <v>31</v>
      </c>
    </row>
    <row r="4" spans="1:3" x14ac:dyDescent="0.3">
      <c r="A4" s="4" t="s">
        <v>174</v>
      </c>
      <c r="B4" s="18">
        <f>Q_C</f>
        <v>1.3402833333333333</v>
      </c>
      <c r="C4" s="4" t="s">
        <v>98</v>
      </c>
    </row>
    <row r="5" spans="1:3" x14ac:dyDescent="0.3">
      <c r="A5" s="4" t="s">
        <v>175</v>
      </c>
      <c r="B5" s="8">
        <v>63</v>
      </c>
      <c r="C5" s="4" t="s">
        <v>46</v>
      </c>
    </row>
    <row r="6" spans="1:3" x14ac:dyDescent="0.3">
      <c r="A6" s="4" t="s">
        <v>176</v>
      </c>
      <c r="B6" s="9">
        <v>55.4</v>
      </c>
      <c r="C6" s="4" t="s">
        <v>46</v>
      </c>
    </row>
    <row r="7" spans="1:3" x14ac:dyDescent="0.3">
      <c r="A7" s="4" t="s">
        <v>177</v>
      </c>
      <c r="B7" s="10">
        <v>0.01</v>
      </c>
      <c r="C7" s="4" t="s">
        <v>46</v>
      </c>
    </row>
    <row r="8" spans="1:3" x14ac:dyDescent="0.3">
      <c r="A8" s="4" t="s">
        <v>178</v>
      </c>
      <c r="B8" s="25">
        <v>1.31E-6</v>
      </c>
      <c r="C8" s="4" t="s">
        <v>179</v>
      </c>
    </row>
    <row r="9" spans="1:3" x14ac:dyDescent="0.3">
      <c r="A9" s="4" t="s">
        <v>180</v>
      </c>
      <c r="B9" s="18">
        <f>VV_Q/1000/(PI()*(VV_D/1000)^2/4)</f>
        <v>0.55601589397407092</v>
      </c>
      <c r="C9" s="4" t="s">
        <v>181</v>
      </c>
    </row>
    <row r="10" spans="1:3" x14ac:dyDescent="0.3">
      <c r="A10" s="4" t="s">
        <v>182</v>
      </c>
      <c r="B10" s="15">
        <f>VV_V*VV_D/1000/VV_NU</f>
        <v>23513.954600124831</v>
      </c>
      <c r="C10" s="4" t="s">
        <v>51</v>
      </c>
    </row>
    <row r="11" spans="1:3" ht="27.6" x14ac:dyDescent="0.3">
      <c r="A11" s="3" t="s">
        <v>183</v>
      </c>
    </row>
    <row r="12" spans="1:3" x14ac:dyDescent="0.3">
      <c r="A12" s="4" t="s">
        <v>184</v>
      </c>
      <c r="B12" s="19">
        <f>(-2*LOG10(VV_DELTA/1000/(3.7*VV_D/1000)+2.51/(VV_RE*SQRT(0.02))))^-2</f>
        <v>2.609924684445572E-2</v>
      </c>
    </row>
    <row r="13" spans="1:3" x14ac:dyDescent="0.3">
      <c r="A13" s="4" t="s">
        <v>185</v>
      </c>
      <c r="B13" s="19">
        <f t="shared" ref="B13:B19" si="0">(-2*LOG10(VV_DELTA/1000/(3.7*VV_D/1000)+2.51/(VV_RE*SQRT(B12))))^-2</f>
        <v>2.5210804765127957E-2</v>
      </c>
    </row>
    <row r="14" spans="1:3" x14ac:dyDescent="0.3">
      <c r="A14" s="4" t="s">
        <v>186</v>
      </c>
      <c r="B14" s="19">
        <f t="shared" si="0"/>
        <v>2.5323386045768847E-2</v>
      </c>
    </row>
    <row r="15" spans="1:3" x14ac:dyDescent="0.3">
      <c r="A15" s="4" t="s">
        <v>187</v>
      </c>
      <c r="B15" s="19">
        <f t="shared" si="0"/>
        <v>2.5308852728683266E-2</v>
      </c>
    </row>
    <row r="16" spans="1:3" x14ac:dyDescent="0.3">
      <c r="A16" s="4" t="s">
        <v>188</v>
      </c>
      <c r="B16" s="19">
        <f t="shared" si="0"/>
        <v>2.5310724398930538E-2</v>
      </c>
    </row>
    <row r="17" spans="1:3" x14ac:dyDescent="0.3">
      <c r="A17" s="4" t="s">
        <v>189</v>
      </c>
      <c r="B17" s="19">
        <f t="shared" si="0"/>
        <v>2.5310483282283552E-2</v>
      </c>
    </row>
    <row r="18" spans="1:3" x14ac:dyDescent="0.3">
      <c r="A18" s="4" t="s">
        <v>190</v>
      </c>
      <c r="B18" s="19">
        <f t="shared" si="0"/>
        <v>2.5310514342743878E-2</v>
      </c>
    </row>
    <row r="19" spans="1:3" x14ac:dyDescent="0.3">
      <c r="A19" s="4" t="s">
        <v>191</v>
      </c>
      <c r="B19" s="19">
        <f t="shared" si="0"/>
        <v>2.5310510341538986E-2</v>
      </c>
    </row>
    <row r="20" spans="1:3" x14ac:dyDescent="0.3">
      <c r="A20" s="4" t="s">
        <v>192</v>
      </c>
      <c r="B20" s="19">
        <f>VV_LAM/(VV_D/1000)*VV_V^2/(2*9.81)</f>
        <v>7.1989067294899447E-3</v>
      </c>
      <c r="C20" s="4" t="s">
        <v>193</v>
      </c>
    </row>
    <row r="21" spans="1:3" x14ac:dyDescent="0.3">
      <c r="A21" s="3" t="s">
        <v>194</v>
      </c>
      <c r="B21" s="20">
        <f>VV_I*L_VVOD*(1+K_L)</f>
        <v>0.23396446870842319</v>
      </c>
      <c r="C21" s="4" t="s">
        <v>37</v>
      </c>
    </row>
  </sheetData>
  <pageMargins left="0.75" right="0.75" top="1" bottom="1" header="0.5" footer="0.5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6"/>
  <sheetViews>
    <sheetView showGridLines="0" workbookViewId="0"/>
  </sheetViews>
  <sheetFormatPr defaultRowHeight="14.4" x14ac:dyDescent="0.3"/>
  <cols>
    <col min="1" max="1" width="26" customWidth="1"/>
    <col min="2" max="2" width="8" customWidth="1"/>
    <col min="3" max="3" width="16" customWidth="1"/>
    <col min="4" max="4" width="14" customWidth="1"/>
    <col min="5" max="5" width="18" customWidth="1"/>
    <col min="6" max="7" width="12" customWidth="1"/>
    <col min="8" max="8" width="13" customWidth="1"/>
    <col min="9" max="9" width="14" customWidth="1"/>
  </cols>
  <sheetData>
    <row r="1" spans="1:9" ht="16.8" x14ac:dyDescent="0.3">
      <c r="A1" s="5" t="s">
        <v>195</v>
      </c>
    </row>
    <row r="3" spans="1:9" ht="31.95" customHeight="1" x14ac:dyDescent="0.3">
      <c r="A3" s="6" t="s">
        <v>196</v>
      </c>
      <c r="B3" s="6" t="s">
        <v>126</v>
      </c>
      <c r="C3" s="6" t="s">
        <v>197</v>
      </c>
      <c r="D3" s="6" t="s">
        <v>198</v>
      </c>
      <c r="E3" s="6" t="s">
        <v>199</v>
      </c>
      <c r="F3" s="6" t="s">
        <v>200</v>
      </c>
      <c r="G3" s="6" t="s">
        <v>201</v>
      </c>
      <c r="H3" s="6" t="s">
        <v>202</v>
      </c>
      <c r="I3" s="6" t="s">
        <v>203</v>
      </c>
    </row>
    <row r="4" spans="1:9" ht="27.6" x14ac:dyDescent="0.3">
      <c r="A4" s="4" t="s">
        <v>204</v>
      </c>
      <c r="B4" s="8">
        <v>25</v>
      </c>
      <c r="C4" s="9">
        <v>2.8</v>
      </c>
      <c r="D4" s="10">
        <v>2.64</v>
      </c>
      <c r="E4" s="18">
        <f>Q_C</f>
        <v>1.3402833333333333</v>
      </c>
      <c r="F4" s="17">
        <f>D4*E4^2</f>
        <v>4.7423888519333328</v>
      </c>
      <c r="G4" s="9">
        <v>5</v>
      </c>
      <c r="H4" s="7" t="str">
        <f>IF(QT_C&lt;=C4,"да","нет")</f>
        <v>да</v>
      </c>
      <c r="I4" s="7" t="str">
        <f>IF(F4&lt;=G4,"подходит","больше DN")</f>
        <v>подходит</v>
      </c>
    </row>
    <row r="5" spans="1:9" x14ac:dyDescent="0.3">
      <c r="A5" s="4" t="s">
        <v>205</v>
      </c>
      <c r="B5" s="8">
        <v>15</v>
      </c>
      <c r="C5" s="9">
        <v>1.2</v>
      </c>
      <c r="D5" s="9">
        <v>14.5</v>
      </c>
      <c r="E5" s="18">
        <f>5*Q0_C*IF((N_PR*P_C)&lt;0.015,0.2,INDEX(B2_A,MATCH((N_PR*P_C),B2_NP,1))+((N_PR*P_C)-INDEX(B2_NP,MATCH((N_PR*P_C),B2_NP,1)))*(INDEX(B2_A,MATCH((N_PR*P_C),B2_NP,1)+1)-INDEX(B2_A,MATCH((N_PR*P_C),B2_NP,1)))/(INDEX(B2_NP,MATCH((N_PR*P_C),B2_NP,1)+1)-INDEX(B2_NP,MATCH((N_PR*P_C),B2_NP,1))))</f>
        <v>0.22987626262626262</v>
      </c>
      <c r="F5" s="17">
        <f>D5*E5^2</f>
        <v>0.76622489372576774</v>
      </c>
      <c r="G5" s="9">
        <v>5</v>
      </c>
      <c r="H5" s="4" t="s">
        <v>51</v>
      </c>
      <c r="I5" s="7" t="str">
        <f>IF(F5&lt;=G5,"подходит","больше DN")</f>
        <v>подходит</v>
      </c>
    </row>
    <row r="6" spans="1:9" ht="27.6" x14ac:dyDescent="0.3">
      <c r="A6" s="3" t="s">
        <v>206</v>
      </c>
      <c r="F6" s="17">
        <f>F4+F5</f>
        <v>5.5086137456591002</v>
      </c>
    </row>
  </sheetData>
  <pageMargins left="0.75" right="0.75" top="1" bottom="1" header="0.5" footer="0.5"/>
  <pageSetup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D28"/>
  <sheetViews>
    <sheetView showGridLines="0" workbookViewId="0"/>
  </sheetViews>
  <sheetFormatPr defaultRowHeight="14.4" x14ac:dyDescent="0.3"/>
  <cols>
    <col min="1" max="1" width="62" customWidth="1"/>
    <col min="2" max="2" width="34" customWidth="1"/>
    <col min="3" max="3" width="14" customWidth="1"/>
    <col min="4" max="4" width="10" customWidth="1"/>
  </cols>
  <sheetData>
    <row r="1" spans="1:4" ht="16.8" x14ac:dyDescent="0.3">
      <c r="A1" s="5" t="s">
        <v>207</v>
      </c>
    </row>
    <row r="3" spans="1:4" ht="31.95" customHeight="1" x14ac:dyDescent="0.3">
      <c r="A3" s="6" t="s">
        <v>69</v>
      </c>
      <c r="B3" s="6" t="s">
        <v>70</v>
      </c>
      <c r="C3" s="6" t="s">
        <v>30</v>
      </c>
      <c r="D3" s="6" t="s">
        <v>31</v>
      </c>
    </row>
    <row r="4" spans="1:4" x14ac:dyDescent="0.3">
      <c r="A4" s="4" t="s">
        <v>208</v>
      </c>
      <c r="B4" s="4" t="s">
        <v>209</v>
      </c>
      <c r="C4" s="18">
        <f>Z_ZEML_GVK-(H_PROMERZ+0.5)</f>
        <v>-2.7</v>
      </c>
      <c r="D4" s="4" t="s">
        <v>37</v>
      </c>
    </row>
    <row r="5" spans="1:4" x14ac:dyDescent="0.3">
      <c r="A5" s="4" t="s">
        <v>210</v>
      </c>
      <c r="B5" s="4" t="s">
        <v>211</v>
      </c>
      <c r="C5" s="18">
        <f>(N_ET-1)*H_ET+Z_PR_DIKT</f>
        <v>33.950000000000003</v>
      </c>
      <c r="D5" s="4" t="s">
        <v>37</v>
      </c>
    </row>
    <row r="6" spans="1:4" x14ac:dyDescent="0.3">
      <c r="A6" s="4" t="s">
        <v>212</v>
      </c>
      <c r="B6" s="4" t="s">
        <v>213</v>
      </c>
      <c r="C6" s="24">
        <f>Z_DIKT-Z_GOR</f>
        <v>36.650000000000006</v>
      </c>
      <c r="D6" s="4" t="s">
        <v>37</v>
      </c>
    </row>
    <row r="7" spans="1:4" x14ac:dyDescent="0.3">
      <c r="A7" s="4" t="s">
        <v>214</v>
      </c>
      <c r="B7" s="4" t="s">
        <v>215</v>
      </c>
      <c r="C7" s="24">
        <f>SUM_H</f>
        <v>8.7539237703006858</v>
      </c>
      <c r="D7" s="4" t="s">
        <v>37</v>
      </c>
    </row>
    <row r="8" spans="1:4" x14ac:dyDescent="0.3">
      <c r="A8" s="4" t="s">
        <v>216</v>
      </c>
      <c r="B8" s="4" t="s">
        <v>217</v>
      </c>
      <c r="C8" s="23">
        <f>H_SV</f>
        <v>20</v>
      </c>
      <c r="D8" s="4" t="s">
        <v>37</v>
      </c>
    </row>
    <row r="9" spans="1:4" x14ac:dyDescent="0.3">
      <c r="A9" s="4" t="s">
        <v>218</v>
      </c>
      <c r="B9" s="4" t="s">
        <v>219</v>
      </c>
      <c r="C9" s="24">
        <f>H_SCH</f>
        <v>5.5086137456591002</v>
      </c>
      <c r="D9" s="4" t="s">
        <v>37</v>
      </c>
    </row>
    <row r="10" spans="1:4" x14ac:dyDescent="0.3">
      <c r="A10" s="4" t="s">
        <v>220</v>
      </c>
      <c r="B10" s="4" t="s">
        <v>221</v>
      </c>
      <c r="C10" s="24">
        <f>H_VVOD</f>
        <v>0.23396446870842319</v>
      </c>
      <c r="D10" s="4" t="s">
        <v>37</v>
      </c>
    </row>
    <row r="11" spans="1:4" x14ac:dyDescent="0.3">
      <c r="A11" s="3" t="s">
        <v>222</v>
      </c>
      <c r="B11" s="4" t="s">
        <v>223</v>
      </c>
      <c r="C11" s="17">
        <f>H_GEOM+H_SUMH+H_SV_+H_SCH_+H_VVOD_</f>
        <v>71.14650198466822</v>
      </c>
      <c r="D11" s="4" t="s">
        <v>37</v>
      </c>
    </row>
    <row r="12" spans="1:4" x14ac:dyDescent="0.3">
      <c r="A12" s="3" t="s">
        <v>224</v>
      </c>
      <c r="B12" s="4" t="s">
        <v>225</v>
      </c>
      <c r="C12" s="17">
        <f>H_TR-H_GAR</f>
        <v>57.14650198466822</v>
      </c>
      <c r="D12" s="4" t="s">
        <v>37</v>
      </c>
    </row>
    <row r="13" spans="1:4" x14ac:dyDescent="0.3">
      <c r="A13" s="4" t="s">
        <v>226</v>
      </c>
      <c r="B13" s="4" t="s">
        <v>227</v>
      </c>
      <c r="C13" s="24">
        <f>Q_C*3.6</f>
        <v>4.8250200000000003</v>
      </c>
      <c r="D13" s="4" t="s">
        <v>85</v>
      </c>
    </row>
    <row r="14" spans="1:4" x14ac:dyDescent="0.3">
      <c r="A14" s="4" t="s">
        <v>228</v>
      </c>
      <c r="B14" s="4" t="s">
        <v>229</v>
      </c>
      <c r="C14" s="24">
        <f>1000*9.81*Q_NAS/3600*H_RAB/1000</f>
        <v>0.75137246589152407</v>
      </c>
      <c r="D14" s="4" t="s">
        <v>230</v>
      </c>
    </row>
    <row r="16" spans="1:4" ht="27.6" x14ac:dyDescent="0.3">
      <c r="A16" s="26" t="s">
        <v>231</v>
      </c>
    </row>
    <row r="17" spans="1:4" ht="31.95" customHeight="1" x14ac:dyDescent="0.3">
      <c r="A17" s="6" t="s">
        <v>232</v>
      </c>
      <c r="B17" s="6" t="s">
        <v>233</v>
      </c>
      <c r="C17" s="6" t="s">
        <v>234</v>
      </c>
      <c r="D17" s="6"/>
    </row>
    <row r="18" spans="1:4" x14ac:dyDescent="0.3">
      <c r="A18" s="7">
        <v>1</v>
      </c>
      <c r="B18" s="23">
        <f t="shared" ref="B18:B28" si="0">H_GAR+H_RAB-((A18-1)*H_ET+0.8-Z_GOR)</f>
        <v>67.64650198466822</v>
      </c>
      <c r="C18" s="7" t="str">
        <f t="shared" ref="C18:C28" si="1">IF(B18&gt;45,"нужен","нет")</f>
        <v>нужен</v>
      </c>
    </row>
    <row r="19" spans="1:4" x14ac:dyDescent="0.3">
      <c r="A19" s="7">
        <v>2</v>
      </c>
      <c r="B19" s="23">
        <f t="shared" si="0"/>
        <v>64.446501984668217</v>
      </c>
      <c r="C19" s="7" t="str">
        <f t="shared" si="1"/>
        <v>нужен</v>
      </c>
    </row>
    <row r="20" spans="1:4" x14ac:dyDescent="0.3">
      <c r="A20" s="7">
        <v>3</v>
      </c>
      <c r="B20" s="23">
        <f t="shared" si="0"/>
        <v>61.246501984668221</v>
      </c>
      <c r="C20" s="7" t="str">
        <f t="shared" si="1"/>
        <v>нужен</v>
      </c>
    </row>
    <row r="21" spans="1:4" x14ac:dyDescent="0.3">
      <c r="A21" s="7">
        <v>4</v>
      </c>
      <c r="B21" s="23">
        <f t="shared" si="0"/>
        <v>58.046501984668218</v>
      </c>
      <c r="C21" s="7" t="str">
        <f t="shared" si="1"/>
        <v>нужен</v>
      </c>
    </row>
    <row r="22" spans="1:4" x14ac:dyDescent="0.3">
      <c r="A22" s="7">
        <v>5</v>
      </c>
      <c r="B22" s="23">
        <f t="shared" si="0"/>
        <v>54.846501984668222</v>
      </c>
      <c r="C22" s="7" t="str">
        <f t="shared" si="1"/>
        <v>нужен</v>
      </c>
    </row>
    <row r="23" spans="1:4" x14ac:dyDescent="0.3">
      <c r="A23" s="7">
        <v>6</v>
      </c>
      <c r="B23" s="23">
        <f t="shared" si="0"/>
        <v>51.64650198466822</v>
      </c>
      <c r="C23" s="7" t="str">
        <f t="shared" si="1"/>
        <v>нужен</v>
      </c>
    </row>
    <row r="24" spans="1:4" x14ac:dyDescent="0.3">
      <c r="A24" s="7">
        <v>7</v>
      </c>
      <c r="B24" s="23">
        <f t="shared" si="0"/>
        <v>48.446501984668217</v>
      </c>
      <c r="C24" s="7" t="str">
        <f t="shared" si="1"/>
        <v>нужен</v>
      </c>
    </row>
    <row r="25" spans="1:4" x14ac:dyDescent="0.3">
      <c r="A25" s="7">
        <v>8</v>
      </c>
      <c r="B25" s="23">
        <f t="shared" si="0"/>
        <v>45.246501984668214</v>
      </c>
      <c r="C25" s="7" t="str">
        <f t="shared" si="1"/>
        <v>нужен</v>
      </c>
    </row>
    <row r="26" spans="1:4" x14ac:dyDescent="0.3">
      <c r="A26" s="7">
        <v>9</v>
      </c>
      <c r="B26" s="23">
        <f t="shared" si="0"/>
        <v>42.046501984668218</v>
      </c>
      <c r="C26" s="7" t="str">
        <f t="shared" si="1"/>
        <v>нет</v>
      </c>
    </row>
    <row r="27" spans="1:4" x14ac:dyDescent="0.3">
      <c r="A27" s="7">
        <v>10</v>
      </c>
      <c r="B27" s="23">
        <f t="shared" si="0"/>
        <v>38.846501984668215</v>
      </c>
      <c r="C27" s="7" t="str">
        <f t="shared" si="1"/>
        <v>нет</v>
      </c>
    </row>
    <row r="28" spans="1:4" x14ac:dyDescent="0.3">
      <c r="A28" s="7">
        <v>11</v>
      </c>
      <c r="B28" s="23">
        <f t="shared" si="0"/>
        <v>35.64650198466822</v>
      </c>
      <c r="C28" s="7" t="str">
        <f t="shared" si="1"/>
        <v>нет</v>
      </c>
    </row>
  </sheetData>
  <pageMargins left="0.75" right="0.75" top="1" bottom="1" header="0.5" footer="0.5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10"/>
  <sheetViews>
    <sheetView showGridLines="0" workbookViewId="0"/>
  </sheetViews>
  <sheetFormatPr defaultRowHeight="14.4" x14ac:dyDescent="0.3"/>
  <cols>
    <col min="1" max="1" width="14" customWidth="1"/>
    <col min="2" max="2" width="18" customWidth="1"/>
    <col min="3" max="3" width="13" customWidth="1"/>
    <col min="4" max="4" width="16" customWidth="1"/>
    <col min="5" max="5" width="11" customWidth="1"/>
    <col min="6" max="6" width="13" customWidth="1"/>
    <col min="7" max="7" width="16" customWidth="1"/>
  </cols>
  <sheetData>
    <row r="1" spans="1:7" ht="16.8" x14ac:dyDescent="0.3">
      <c r="A1" s="5" t="s">
        <v>235</v>
      </c>
    </row>
    <row r="3" spans="1:7" ht="31.95" customHeight="1" x14ac:dyDescent="0.3">
      <c r="A3" s="6" t="s">
        <v>236</v>
      </c>
      <c r="B3" s="6" t="s">
        <v>237</v>
      </c>
      <c r="C3" s="6" t="s">
        <v>238</v>
      </c>
      <c r="D3" s="6" t="s">
        <v>239</v>
      </c>
      <c r="E3" s="6" t="s">
        <v>240</v>
      </c>
      <c r="F3" s="6" t="s">
        <v>241</v>
      </c>
      <c r="G3" s="6" t="s">
        <v>203</v>
      </c>
    </row>
    <row r="4" spans="1:7" x14ac:dyDescent="0.3">
      <c r="A4" s="4" t="s">
        <v>242</v>
      </c>
      <c r="B4" s="9">
        <v>36.6</v>
      </c>
      <c r="C4" s="23">
        <f>B4-H_RAB</f>
        <v>-20.546501984668218</v>
      </c>
      <c r="D4" s="4" t="s">
        <v>243</v>
      </c>
      <c r="E4" s="9">
        <v>56</v>
      </c>
      <c r="F4" s="9">
        <v>1.1000000000000001</v>
      </c>
      <c r="G4" s="7" t="str">
        <f>IF(C4&lt;0,"мал напор",IF(B4=SUMPRODUCT(MIN(B4:B8+(C4:C8&lt;0)*1000)),"принят","подходит"))</f>
        <v>мал напор</v>
      </c>
    </row>
    <row r="5" spans="1:7" x14ac:dyDescent="0.3">
      <c r="A5" s="4" t="s">
        <v>244</v>
      </c>
      <c r="B5" s="9">
        <v>43.6</v>
      </c>
      <c r="C5" s="23">
        <f>B5-H_RAB</f>
        <v>-13.546501984668218</v>
      </c>
      <c r="D5" s="4" t="s">
        <v>243</v>
      </c>
      <c r="E5" s="9">
        <v>56</v>
      </c>
      <c r="F5" s="9">
        <v>1.1000000000000001</v>
      </c>
      <c r="G5" s="7" t="str">
        <f>IF(C5&lt;0,"мал напор",IF(B5=SUMPRODUCT(MIN(B4:B8+(C4:C8&lt;0)*1000)),"принят","подходит"))</f>
        <v>мал напор</v>
      </c>
    </row>
    <row r="6" spans="1:7" x14ac:dyDescent="0.3">
      <c r="A6" s="4" t="s">
        <v>245</v>
      </c>
      <c r="B6" s="9">
        <v>52.2</v>
      </c>
      <c r="C6" s="23">
        <f>B6-H_RAB</f>
        <v>-4.9465019846682168</v>
      </c>
      <c r="D6" s="4" t="s">
        <v>243</v>
      </c>
      <c r="E6" s="9">
        <v>56</v>
      </c>
      <c r="F6" s="9">
        <v>1.5</v>
      </c>
      <c r="G6" s="7" t="str">
        <f>IF(C6&lt;0,"мал напор",IF(B6=SUMPRODUCT(MIN(B4:B8+(C4:C8&lt;0)*1000)),"принят","подходит"))</f>
        <v>мал напор</v>
      </c>
    </row>
    <row r="7" spans="1:7" x14ac:dyDescent="0.3">
      <c r="A7" s="4" t="s">
        <v>246</v>
      </c>
      <c r="B7" s="9">
        <v>58.3</v>
      </c>
      <c r="C7" s="23">
        <f>B7-H_RAB</f>
        <v>1.1534980153317775</v>
      </c>
      <c r="D7" s="4" t="s">
        <v>243</v>
      </c>
      <c r="E7" s="9">
        <v>56</v>
      </c>
      <c r="F7" s="9">
        <v>1.5</v>
      </c>
      <c r="G7" s="7" t="str">
        <f>IF(C7&lt;0,"мал напор",IF(B7=SUMPRODUCT(MIN(B4:B8+(C4:C8&lt;0)*1000)),"принят","подходит"))</f>
        <v>принят</v>
      </c>
    </row>
    <row r="8" spans="1:7" x14ac:dyDescent="0.3">
      <c r="A8" s="4" t="s">
        <v>247</v>
      </c>
      <c r="B8" s="9">
        <v>73.5</v>
      </c>
      <c r="C8" s="23">
        <f>B8-H_RAB</f>
        <v>16.35349801533178</v>
      </c>
      <c r="D8" s="4" t="s">
        <v>243</v>
      </c>
      <c r="E8" s="9">
        <v>56</v>
      </c>
      <c r="F8" s="9">
        <v>2.2000000000000002</v>
      </c>
      <c r="G8" s="7" t="str">
        <f>IF(C8&lt;0,"мал напор",IF(B8=SUMPRODUCT(MIN(B4:B8+(C4:C8&lt;0)*1000)),"принят","подходит"))</f>
        <v>подходит</v>
      </c>
    </row>
    <row r="10" spans="1:7" x14ac:dyDescent="0.3">
      <c r="A10" s="14" t="s">
        <v>248</v>
      </c>
    </row>
  </sheetData>
  <pageMargins left="0.75" right="0.75" top="1" bottom="1" header="0.5" footer="0.5"/>
  <pageSetup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H11"/>
  <sheetViews>
    <sheetView showGridLines="0" workbookViewId="0"/>
  </sheetViews>
  <sheetFormatPr defaultRowHeight="14.4" x14ac:dyDescent="0.3"/>
  <cols>
    <col min="1" max="1" width="12" customWidth="1"/>
    <col min="2" max="2" width="8" customWidth="1"/>
    <col min="3" max="3" width="12" customWidth="1"/>
    <col min="4" max="4" width="10" customWidth="1"/>
    <col min="5" max="6" width="13" customWidth="1"/>
    <col min="7" max="7" width="15" customWidth="1"/>
    <col min="8" max="8" width="14" customWidth="1"/>
  </cols>
  <sheetData>
    <row r="1" spans="1:8" ht="16.8" x14ac:dyDescent="0.3">
      <c r="A1" s="5" t="s">
        <v>249</v>
      </c>
    </row>
    <row r="3" spans="1:8" ht="31.95" customHeight="1" x14ac:dyDescent="0.3">
      <c r="A3" s="6" t="s">
        <v>250</v>
      </c>
      <c r="B3" s="6" t="s">
        <v>121</v>
      </c>
      <c r="C3" s="6" t="s">
        <v>92</v>
      </c>
      <c r="D3" s="6" t="s">
        <v>124</v>
      </c>
      <c r="E3" s="6" t="s">
        <v>251</v>
      </c>
      <c r="F3" s="6" t="s">
        <v>252</v>
      </c>
      <c r="G3" s="6" t="s">
        <v>253</v>
      </c>
      <c r="H3" s="6" t="s">
        <v>203</v>
      </c>
    </row>
    <row r="4" spans="1:8" x14ac:dyDescent="0.3">
      <c r="A4" s="4" t="s">
        <v>254</v>
      </c>
      <c r="B4" s="15">
        <f t="shared" ref="B4:B9" si="0">N_PR*N_ET</f>
        <v>44</v>
      </c>
      <c r="C4" s="22">
        <f t="shared" ref="C4:C9" si="1">B4*P_TOT</f>
        <v>0.44932098765432094</v>
      </c>
      <c r="D4" s="18">
        <f t="shared" ref="D4:D9" si="2">IF(C4&lt;0.015,0.2,INDEX(B2_A,MATCH(C4,B2_NP,1))+(C4-INDEX(B2_NP,MATCH(C4,B2_NP,1)))*(INDEX(B2_A,MATCH(C4,B2_NP,1)+1)-INDEX(B2_A,MATCH(C4,B2_NP,1)))/(INDEX(B2_NP,MATCH(C4,B2_NP,1)+1)-INDEX(B2_NP,MATCH(C4,B2_NP,1))))</f>
        <v>0.6445246913580247</v>
      </c>
      <c r="E4" s="18">
        <f t="shared" ref="E4:E9" si="3">5*Q0_TOT*D4</f>
        <v>0.96678703703703706</v>
      </c>
      <c r="F4" s="20">
        <f t="shared" ref="F4:F9" si="4">E4+1.6</f>
        <v>2.5667870370370371</v>
      </c>
      <c r="G4" s="10">
        <v>5.9</v>
      </c>
      <c r="H4" s="7" t="str">
        <f t="shared" ref="H4:H9" si="5">IF(F4&lt;=G4,"обеспечена","нет")</f>
        <v>обеспечена</v>
      </c>
    </row>
    <row r="5" spans="1:8" x14ac:dyDescent="0.3">
      <c r="A5" s="4" t="s">
        <v>255</v>
      </c>
      <c r="B5" s="15">
        <f t="shared" si="0"/>
        <v>44</v>
      </c>
      <c r="C5" s="22">
        <f t="shared" si="1"/>
        <v>0.44932098765432094</v>
      </c>
      <c r="D5" s="18">
        <f t="shared" si="2"/>
        <v>0.6445246913580247</v>
      </c>
      <c r="E5" s="18">
        <f t="shared" si="3"/>
        <v>0.96678703703703706</v>
      </c>
      <c r="F5" s="20">
        <f t="shared" si="4"/>
        <v>2.5667870370370371</v>
      </c>
      <c r="G5" s="10">
        <v>5.9</v>
      </c>
      <c r="H5" s="7" t="str">
        <f t="shared" si="5"/>
        <v>обеспечена</v>
      </c>
    </row>
    <row r="6" spans="1:8" x14ac:dyDescent="0.3">
      <c r="A6" s="4" t="s">
        <v>256</v>
      </c>
      <c r="B6" s="15">
        <f t="shared" si="0"/>
        <v>44</v>
      </c>
      <c r="C6" s="22">
        <f t="shared" si="1"/>
        <v>0.44932098765432094</v>
      </c>
      <c r="D6" s="18">
        <f t="shared" si="2"/>
        <v>0.6445246913580247</v>
      </c>
      <c r="E6" s="18">
        <f t="shared" si="3"/>
        <v>0.96678703703703706</v>
      </c>
      <c r="F6" s="20">
        <f t="shared" si="4"/>
        <v>2.5667870370370371</v>
      </c>
      <c r="G6" s="10">
        <v>5.9</v>
      </c>
      <c r="H6" s="7" t="str">
        <f t="shared" si="5"/>
        <v>обеспечена</v>
      </c>
    </row>
    <row r="7" spans="1:8" x14ac:dyDescent="0.3">
      <c r="A7" s="4" t="s">
        <v>257</v>
      </c>
      <c r="B7" s="15">
        <f t="shared" si="0"/>
        <v>44</v>
      </c>
      <c r="C7" s="22">
        <f t="shared" si="1"/>
        <v>0.44932098765432094</v>
      </c>
      <c r="D7" s="18">
        <f t="shared" si="2"/>
        <v>0.6445246913580247</v>
      </c>
      <c r="E7" s="18">
        <f t="shared" si="3"/>
        <v>0.96678703703703706</v>
      </c>
      <c r="F7" s="20">
        <f t="shared" si="4"/>
        <v>2.5667870370370371</v>
      </c>
      <c r="G7" s="10">
        <v>5.9</v>
      </c>
      <c r="H7" s="7" t="str">
        <f t="shared" si="5"/>
        <v>обеспечена</v>
      </c>
    </row>
    <row r="8" spans="1:8" x14ac:dyDescent="0.3">
      <c r="A8" s="4" t="s">
        <v>258</v>
      </c>
      <c r="B8" s="15">
        <f t="shared" si="0"/>
        <v>44</v>
      </c>
      <c r="C8" s="22">
        <f t="shared" si="1"/>
        <v>0.44932098765432094</v>
      </c>
      <c r="D8" s="18">
        <f t="shared" si="2"/>
        <v>0.6445246913580247</v>
      </c>
      <c r="E8" s="18">
        <f t="shared" si="3"/>
        <v>0.96678703703703706</v>
      </c>
      <c r="F8" s="20">
        <f t="shared" si="4"/>
        <v>2.5667870370370371</v>
      </c>
      <c r="G8" s="10">
        <v>5.9</v>
      </c>
      <c r="H8" s="7" t="str">
        <f t="shared" si="5"/>
        <v>обеспечена</v>
      </c>
    </row>
    <row r="9" spans="1:8" x14ac:dyDescent="0.3">
      <c r="A9" s="4" t="s">
        <v>259</v>
      </c>
      <c r="B9" s="15">
        <f t="shared" si="0"/>
        <v>44</v>
      </c>
      <c r="C9" s="22">
        <f t="shared" si="1"/>
        <v>0.44932098765432094</v>
      </c>
      <c r="D9" s="18">
        <f t="shared" si="2"/>
        <v>0.6445246913580247</v>
      </c>
      <c r="E9" s="18">
        <f t="shared" si="3"/>
        <v>0.96678703703703706</v>
      </c>
      <c r="F9" s="20">
        <f t="shared" si="4"/>
        <v>2.5667870370370371</v>
      </c>
      <c r="G9" s="10">
        <v>5.9</v>
      </c>
      <c r="H9" s="7" t="str">
        <f t="shared" si="5"/>
        <v>обеспечена</v>
      </c>
    </row>
    <row r="11" spans="1:8" x14ac:dyDescent="0.3">
      <c r="A11" s="14" t="s">
        <v>260</v>
      </c>
    </row>
  </sheetData>
  <pageMargins left="0.75" right="0.75" top="1" bottom="1" header="0.5" footer="0.5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N13"/>
  <sheetViews>
    <sheetView showGridLines="0" workbookViewId="0"/>
  </sheetViews>
  <sheetFormatPr defaultRowHeight="14.4" x14ac:dyDescent="0.3"/>
  <cols>
    <col min="1" max="1" width="34" customWidth="1"/>
    <col min="2" max="2" width="8" customWidth="1"/>
    <col min="3" max="3" width="7" customWidth="1"/>
    <col min="4" max="4" width="10" customWidth="1"/>
    <col min="5" max="5" width="9" customWidth="1"/>
    <col min="6" max="6" width="11" customWidth="1"/>
    <col min="7" max="7" width="9" customWidth="1"/>
    <col min="8" max="8" width="11" customWidth="1"/>
    <col min="9" max="9" width="9" customWidth="1"/>
    <col min="10" max="11" width="8" customWidth="1"/>
    <col min="12" max="12" width="9" customWidth="1"/>
    <col min="13" max="13" width="11" customWidth="1"/>
    <col min="14" max="14" width="9" customWidth="1"/>
  </cols>
  <sheetData>
    <row r="1" spans="1:14" ht="16.8" x14ac:dyDescent="0.3">
      <c r="A1" s="5" t="s">
        <v>21</v>
      </c>
    </row>
    <row r="3" spans="1:14" ht="31.95" customHeight="1" x14ac:dyDescent="0.3">
      <c r="A3" s="6" t="s">
        <v>261</v>
      </c>
      <c r="B3" s="6" t="s">
        <v>120</v>
      </c>
      <c r="C3" s="6" t="s">
        <v>121</v>
      </c>
      <c r="D3" s="6" t="s">
        <v>262</v>
      </c>
      <c r="E3" s="6" t="s">
        <v>263</v>
      </c>
      <c r="F3" s="6" t="s">
        <v>264</v>
      </c>
      <c r="G3" s="6" t="s">
        <v>265</v>
      </c>
      <c r="H3" s="6" t="s">
        <v>266</v>
      </c>
      <c r="I3" s="6" t="s">
        <v>267</v>
      </c>
      <c r="J3" s="6" t="s">
        <v>129</v>
      </c>
      <c r="K3" s="6" t="s">
        <v>268</v>
      </c>
      <c r="L3" s="6" t="s">
        <v>269</v>
      </c>
      <c r="M3" s="6" t="s">
        <v>270</v>
      </c>
      <c r="N3" s="6" t="s">
        <v>271</v>
      </c>
    </row>
    <row r="4" spans="1:14" ht="27.6" x14ac:dyDescent="0.3">
      <c r="A4" s="4" t="s">
        <v>272</v>
      </c>
      <c r="B4" s="10">
        <v>1.73</v>
      </c>
      <c r="C4" s="8">
        <v>44</v>
      </c>
      <c r="D4" s="19">
        <f t="shared" ref="D4:D10" si="0">PHR_TOT</f>
        <v>3.6762626262626268E-2</v>
      </c>
      <c r="E4" s="18">
        <f t="shared" ref="E4:E10" si="1">IF((C4*D4)&lt;0.015,0.2,INDEX(B2_A,MATCH((C4*D4),B2_NP,1))+((C4*D4)-INDEX(B2_NP,MATCH((C4*D4),B2_NP,1)))*(INDEX(B2_A,MATCH((C4*D4),B2_NP,1)+1)-INDEX(B2_A,MATCH((C4*D4),B2_NP,1)))/(INDEX(B2_NP,MATCH((C4*D4),B2_NP,1)+1)-INDEX(B2_NP,MATCH((C4*D4),B2_NP,1))))</f>
        <v>1.2687244444444445</v>
      </c>
      <c r="F4" s="18">
        <f t="shared" ref="F4:F10" si="2">0.005*Q0HR_TOT*E4</f>
        <v>1.9030866666666668</v>
      </c>
      <c r="G4" s="10">
        <v>0.66869999999999996</v>
      </c>
      <c r="H4" s="17">
        <f t="shared" ref="H4:H10" si="3">F4/3.6+G4*1.1</f>
        <v>1.2642051851851854</v>
      </c>
      <c r="I4" s="8">
        <v>100</v>
      </c>
      <c r="J4" s="11">
        <v>0.02</v>
      </c>
      <c r="K4" s="10">
        <v>0.29099999999999998</v>
      </c>
      <c r="L4" s="10">
        <v>0.66600000000000004</v>
      </c>
      <c r="M4" s="24">
        <f t="shared" ref="M4:M10" si="4">L4*SQRT(K4)</f>
        <v>0.35926980947471782</v>
      </c>
      <c r="N4" s="18">
        <f t="shared" ref="N4:N10" si="5">B4*J4</f>
        <v>3.4599999999999999E-2</v>
      </c>
    </row>
    <row r="5" spans="1:14" ht="27.6" x14ac:dyDescent="0.3">
      <c r="A5" s="4" t="s">
        <v>273</v>
      </c>
      <c r="B5" s="10">
        <v>14.78</v>
      </c>
      <c r="C5" s="8">
        <v>88</v>
      </c>
      <c r="D5" s="19">
        <f t="shared" si="0"/>
        <v>3.6762626262626268E-2</v>
      </c>
      <c r="E5" s="18">
        <f t="shared" si="1"/>
        <v>1.9299911111111114</v>
      </c>
      <c r="F5" s="18">
        <f t="shared" si="2"/>
        <v>2.894986666666667</v>
      </c>
      <c r="G5" s="10">
        <v>0.50580000000000003</v>
      </c>
      <c r="H5" s="17">
        <f t="shared" si="3"/>
        <v>1.3605429629629633</v>
      </c>
      <c r="I5" s="8">
        <v>100</v>
      </c>
      <c r="J5" s="11">
        <v>0.02</v>
      </c>
      <c r="K5" s="10">
        <v>0.30199999999999999</v>
      </c>
      <c r="L5" s="10">
        <v>0.68</v>
      </c>
      <c r="M5" s="24">
        <f t="shared" si="4"/>
        <v>0.37369078126172722</v>
      </c>
      <c r="N5" s="18">
        <f t="shared" si="5"/>
        <v>0.29559999999999997</v>
      </c>
    </row>
    <row r="6" spans="1:14" x14ac:dyDescent="0.3">
      <c r="A6" s="4" t="s">
        <v>274</v>
      </c>
      <c r="B6" s="10">
        <v>11.98</v>
      </c>
      <c r="C6" s="8">
        <v>132</v>
      </c>
      <c r="D6" s="19">
        <f t="shared" si="0"/>
        <v>3.6762626262626268E-2</v>
      </c>
      <c r="E6" s="18">
        <f t="shared" si="1"/>
        <v>2.507906666666667</v>
      </c>
      <c r="F6" s="18">
        <f t="shared" si="2"/>
        <v>3.7618600000000004</v>
      </c>
      <c r="G6" s="10">
        <v>0.56850000000000001</v>
      </c>
      <c r="H6" s="17">
        <f t="shared" si="3"/>
        <v>1.6703111111111113</v>
      </c>
      <c r="I6" s="8">
        <v>100</v>
      </c>
      <c r="J6" s="11">
        <v>0.02</v>
      </c>
      <c r="K6" s="10">
        <v>0.33600000000000002</v>
      </c>
      <c r="L6" s="10">
        <v>0.72099999999999997</v>
      </c>
      <c r="M6" s="24">
        <f t="shared" si="4"/>
        <v>0.41793130536010337</v>
      </c>
      <c r="N6" s="18">
        <f t="shared" si="5"/>
        <v>0.23960000000000001</v>
      </c>
    </row>
    <row r="7" spans="1:14" x14ac:dyDescent="0.3">
      <c r="A7" s="4" t="s">
        <v>275</v>
      </c>
      <c r="B7" s="10">
        <v>22.36</v>
      </c>
      <c r="C7" s="8">
        <v>132</v>
      </c>
      <c r="D7" s="19">
        <f t="shared" si="0"/>
        <v>3.6762626262626268E-2</v>
      </c>
      <c r="E7" s="18">
        <f t="shared" si="1"/>
        <v>2.507906666666667</v>
      </c>
      <c r="F7" s="18">
        <f t="shared" si="2"/>
        <v>3.7618600000000004</v>
      </c>
      <c r="G7" s="10">
        <v>0.50619999999999998</v>
      </c>
      <c r="H7" s="17">
        <f t="shared" si="3"/>
        <v>1.6017811111111113</v>
      </c>
      <c r="I7" s="8">
        <v>150</v>
      </c>
      <c r="J7" s="11">
        <v>8.0000000000000002E-3</v>
      </c>
      <c r="K7" s="10">
        <v>0.23899999999999999</v>
      </c>
      <c r="L7" s="10">
        <v>0.49399999999999999</v>
      </c>
      <c r="M7" s="24">
        <f t="shared" si="4"/>
        <v>0.24150487365682705</v>
      </c>
      <c r="N7" s="18">
        <f t="shared" si="5"/>
        <v>0.17888000000000001</v>
      </c>
    </row>
    <row r="8" spans="1:14" x14ac:dyDescent="0.3">
      <c r="A8" s="4" t="s">
        <v>276</v>
      </c>
      <c r="B8" s="10">
        <v>22.36</v>
      </c>
      <c r="C8" s="8">
        <v>132</v>
      </c>
      <c r="D8" s="19">
        <f t="shared" si="0"/>
        <v>3.6762626262626268E-2</v>
      </c>
      <c r="E8" s="18">
        <f t="shared" si="1"/>
        <v>2.507906666666667</v>
      </c>
      <c r="F8" s="18">
        <f t="shared" si="2"/>
        <v>3.7618600000000004</v>
      </c>
      <c r="G8" s="10">
        <v>0.50619999999999998</v>
      </c>
      <c r="H8" s="17">
        <f t="shared" si="3"/>
        <v>1.6017811111111113</v>
      </c>
      <c r="I8" s="8">
        <v>150</v>
      </c>
      <c r="J8" s="11">
        <v>8.0000000000000002E-3</v>
      </c>
      <c r="K8" s="10">
        <v>0.23899999999999999</v>
      </c>
      <c r="L8" s="10">
        <v>0.49399999999999999</v>
      </c>
      <c r="M8" s="24">
        <f t="shared" si="4"/>
        <v>0.24150487365682705</v>
      </c>
      <c r="N8" s="18">
        <f t="shared" si="5"/>
        <v>0.17888000000000001</v>
      </c>
    </row>
    <row r="9" spans="1:14" x14ac:dyDescent="0.3">
      <c r="A9" s="4" t="s">
        <v>277</v>
      </c>
      <c r="B9" s="10">
        <v>9.17</v>
      </c>
      <c r="C9" s="8">
        <v>264</v>
      </c>
      <c r="D9" s="19">
        <f t="shared" si="0"/>
        <v>3.6762626262626268E-2</v>
      </c>
      <c r="E9" s="18">
        <f t="shared" si="1"/>
        <v>4.0386000000000006</v>
      </c>
      <c r="F9" s="18">
        <f t="shared" si="2"/>
        <v>6.057900000000001</v>
      </c>
      <c r="G9" s="10">
        <v>0.69179999999999997</v>
      </c>
      <c r="H9" s="17">
        <f t="shared" si="3"/>
        <v>2.4437300000000004</v>
      </c>
      <c r="I9" s="8">
        <v>150</v>
      </c>
      <c r="J9" s="11">
        <v>8.0000000000000002E-3</v>
      </c>
      <c r="K9" s="10">
        <v>0.29599999999999999</v>
      </c>
      <c r="L9" s="10">
        <v>0.55800000000000005</v>
      </c>
      <c r="M9" s="24">
        <f t="shared" si="4"/>
        <v>0.30358482175497514</v>
      </c>
      <c r="N9" s="18">
        <f t="shared" si="5"/>
        <v>7.3359999999999995E-2</v>
      </c>
    </row>
    <row r="10" spans="1:14" x14ac:dyDescent="0.3">
      <c r="A10" s="4" t="s">
        <v>278</v>
      </c>
      <c r="B10" s="10">
        <v>6.2</v>
      </c>
      <c r="C10" s="8">
        <v>264</v>
      </c>
      <c r="D10" s="19">
        <f t="shared" si="0"/>
        <v>3.6762626262626268E-2</v>
      </c>
      <c r="E10" s="18">
        <f t="shared" si="1"/>
        <v>4.0386000000000006</v>
      </c>
      <c r="F10" s="18">
        <f t="shared" si="2"/>
        <v>6.057900000000001</v>
      </c>
      <c r="G10" s="10">
        <v>0.72589999999999999</v>
      </c>
      <c r="H10" s="17">
        <f t="shared" si="3"/>
        <v>2.4812400000000001</v>
      </c>
      <c r="I10" s="8">
        <v>150</v>
      </c>
      <c r="J10" s="11">
        <v>8.0000000000000002E-3</v>
      </c>
      <c r="K10" s="10">
        <v>0.29899999999999999</v>
      </c>
      <c r="L10" s="10">
        <v>0.56000000000000005</v>
      </c>
      <c r="M10" s="24">
        <f t="shared" si="4"/>
        <v>0.3062129977646279</v>
      </c>
      <c r="N10" s="18">
        <f t="shared" si="5"/>
        <v>4.9600000000000005E-2</v>
      </c>
    </row>
    <row r="12" spans="1:14" ht="28.05" customHeight="1" x14ac:dyDescent="0.3">
      <c r="A12" s="31" t="s">
        <v>279</v>
      </c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</row>
    <row r="13" spans="1:14" x14ac:dyDescent="0.3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</row>
  </sheetData>
  <mergeCells count="1">
    <mergeCell ref="A12:N13"/>
  </mergeCells>
  <pageMargins left="0.75" right="0.75" top="1" bottom="1" header="0.5" footer="0.5"/>
  <pageSetup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F14"/>
  <sheetViews>
    <sheetView showGridLines="0" workbookViewId="0"/>
  </sheetViews>
  <sheetFormatPr defaultRowHeight="14.4" x14ac:dyDescent="0.3"/>
  <cols>
    <col min="1" max="1" width="30" customWidth="1"/>
    <col min="2" max="3" width="12" customWidth="1"/>
    <col min="4" max="5" width="14" customWidth="1"/>
    <col min="6" max="6" width="30" customWidth="1"/>
  </cols>
  <sheetData>
    <row r="1" spans="1:6" ht="16.8" x14ac:dyDescent="0.3">
      <c r="A1" s="5" t="s">
        <v>280</v>
      </c>
    </row>
    <row r="3" spans="1:6" ht="31.95" customHeight="1" x14ac:dyDescent="0.3">
      <c r="A3" s="6" t="s">
        <v>281</v>
      </c>
      <c r="B3" s="6" t="s">
        <v>282</v>
      </c>
      <c r="C3" s="6" t="s">
        <v>283</v>
      </c>
      <c r="D3" s="6" t="s">
        <v>284</v>
      </c>
      <c r="E3" s="6" t="s">
        <v>285</v>
      </c>
      <c r="F3" s="6" t="s">
        <v>286</v>
      </c>
    </row>
    <row r="4" spans="1:6" x14ac:dyDescent="0.3">
      <c r="A4" s="4" t="s">
        <v>287</v>
      </c>
      <c r="B4" s="27" t="s">
        <v>51</v>
      </c>
      <c r="C4" s="24">
        <f>Z0_ABS-2</f>
        <v>99</v>
      </c>
      <c r="D4" s="4" t="s">
        <v>51</v>
      </c>
      <c r="E4" s="4" t="s">
        <v>51</v>
      </c>
      <c r="F4" s="4" t="s">
        <v>288</v>
      </c>
    </row>
    <row r="5" spans="1:6" x14ac:dyDescent="0.3">
      <c r="A5" s="4" t="s">
        <v>289</v>
      </c>
      <c r="B5" s="27" t="s">
        <v>51</v>
      </c>
      <c r="C5" s="24">
        <f>C4-K1_I_2*5</f>
        <v>98.9</v>
      </c>
      <c r="D5" s="4" t="s">
        <v>51</v>
      </c>
      <c r="E5" s="4" t="s">
        <v>51</v>
      </c>
      <c r="F5" s="4" t="s">
        <v>290</v>
      </c>
    </row>
    <row r="6" spans="1:6" x14ac:dyDescent="0.3">
      <c r="A6" s="4" t="s">
        <v>291</v>
      </c>
      <c r="B6" s="10">
        <v>100.85</v>
      </c>
      <c r="C6" s="24">
        <f>C5+0.1-0.15</f>
        <v>98.85</v>
      </c>
      <c r="D6" s="17">
        <f>B6-C6</f>
        <v>2</v>
      </c>
      <c r="E6" s="7" t="str">
        <f>IF(D6&gt;=H0_MIN,"да","нет")</f>
        <v>да</v>
      </c>
      <c r="F6" s="4" t="s">
        <v>292</v>
      </c>
    </row>
    <row r="7" spans="1:6" x14ac:dyDescent="0.3">
      <c r="A7" s="4" t="s">
        <v>293</v>
      </c>
      <c r="B7" s="10">
        <v>100.7</v>
      </c>
      <c r="C7" s="24">
        <f>C6-K1_IL_3</f>
        <v>98.671119999999988</v>
      </c>
      <c r="D7" s="17">
        <f>B7-C7</f>
        <v>2.0288800000000151</v>
      </c>
      <c r="E7" s="7" t="str">
        <f>IF(D7&gt;=H0_MIN,"да","нет")</f>
        <v>да</v>
      </c>
      <c r="F7" s="4" t="s">
        <v>294</v>
      </c>
    </row>
    <row r="8" spans="1:6" x14ac:dyDescent="0.3">
      <c r="A8" s="4" t="s">
        <v>295</v>
      </c>
      <c r="B8" s="10">
        <v>100.55</v>
      </c>
      <c r="C8" s="24">
        <f>C7-K1_IL_4</f>
        <v>98.492239999999981</v>
      </c>
      <c r="D8" s="17">
        <f>B8-C8</f>
        <v>2.057760000000016</v>
      </c>
      <c r="E8" s="7" t="str">
        <f>IF(D8&gt;=H0_MIN,"да","нет")</f>
        <v>да</v>
      </c>
      <c r="F8" s="4" t="s">
        <v>296</v>
      </c>
    </row>
    <row r="9" spans="1:6" x14ac:dyDescent="0.3">
      <c r="A9" s="4" t="s">
        <v>297</v>
      </c>
      <c r="B9" s="10">
        <v>100.4</v>
      </c>
      <c r="C9" s="24">
        <f>C8-K1_IL_5</f>
        <v>98.418879999999987</v>
      </c>
      <c r="D9" s="17">
        <f>B9-C9</f>
        <v>1.9811200000000184</v>
      </c>
      <c r="E9" s="7" t="str">
        <f>IF(D9&gt;=H0_MIN,"да","нет")</f>
        <v>да</v>
      </c>
      <c r="F9" s="4" t="s">
        <v>298</v>
      </c>
    </row>
    <row r="10" spans="1:6" x14ac:dyDescent="0.3">
      <c r="A10" s="4" t="s">
        <v>299</v>
      </c>
      <c r="B10" s="10">
        <v>100.3</v>
      </c>
      <c r="C10" s="24">
        <f>C9-K1_IL_6</f>
        <v>98.369279999999989</v>
      </c>
      <c r="D10" s="17">
        <f>B10-C10</f>
        <v>1.930720000000008</v>
      </c>
      <c r="E10" s="7" t="str">
        <f>IF(D10&gt;=H0_MIN,"да","нет")</f>
        <v>да</v>
      </c>
      <c r="F10" s="4" t="s">
        <v>300</v>
      </c>
    </row>
    <row r="12" spans="1:6" x14ac:dyDescent="0.3">
      <c r="A12" s="3" t="s">
        <v>301</v>
      </c>
      <c r="C12" s="17">
        <f>MAX(H_PROMERZ-0.3,0.7+0.15)</f>
        <v>1.4</v>
      </c>
    </row>
    <row r="13" spans="1:6" ht="27.6" x14ac:dyDescent="0.3">
      <c r="A13" s="4" t="s">
        <v>302</v>
      </c>
      <c r="C13" s="10">
        <v>97.8</v>
      </c>
    </row>
    <row r="14" spans="1:6" ht="27.6" x14ac:dyDescent="0.3">
      <c r="A14" s="4" t="s">
        <v>303</v>
      </c>
      <c r="C14" s="24">
        <f>C10-(C13+0.4)</f>
        <v>0.16927999999998633</v>
      </c>
    </row>
  </sheetData>
  <pageMargins left="0.75" right="0.75" top="1" bottom="1" header="0.5" footer="0.5"/>
  <pageSetup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B582"/>
  <sheetViews>
    <sheetView workbookViewId="0"/>
  </sheetViews>
  <sheetFormatPr defaultRowHeight="14.4" x14ac:dyDescent="0.3"/>
  <sheetData>
    <row r="1" spans="1:2" x14ac:dyDescent="0.3">
      <c r="A1" s="21" t="s">
        <v>123</v>
      </c>
      <c r="B1" s="21" t="s">
        <v>124</v>
      </c>
    </row>
    <row r="2" spans="1:2" x14ac:dyDescent="0.3">
      <c r="A2" s="28">
        <v>1.4999999999999999E-2</v>
      </c>
      <c r="B2" s="28">
        <v>0.20200000000000001</v>
      </c>
    </row>
    <row r="3" spans="1:2" x14ac:dyDescent="0.3">
      <c r="A3" s="28">
        <v>1.6E-2</v>
      </c>
      <c r="B3" s="28">
        <v>0.20499999999999999</v>
      </c>
    </row>
    <row r="4" spans="1:2" x14ac:dyDescent="0.3">
      <c r="A4" s="28">
        <v>1.7000000000000001E-2</v>
      </c>
      <c r="B4" s="28">
        <v>0.20699999999999999</v>
      </c>
    </row>
    <row r="5" spans="1:2" x14ac:dyDescent="0.3">
      <c r="A5" s="28">
        <v>1.7999999999999999E-2</v>
      </c>
      <c r="B5" s="28">
        <v>0.21</v>
      </c>
    </row>
    <row r="6" spans="1:2" x14ac:dyDescent="0.3">
      <c r="A6" s="28">
        <v>1.9E-2</v>
      </c>
      <c r="B6" s="28">
        <v>0.21199999999999999</v>
      </c>
    </row>
    <row r="7" spans="1:2" x14ac:dyDescent="0.3">
      <c r="A7" s="28">
        <v>0.02</v>
      </c>
      <c r="B7" s="28">
        <v>0.215</v>
      </c>
    </row>
    <row r="8" spans="1:2" x14ac:dyDescent="0.3">
      <c r="A8" s="28">
        <v>2.1000000000000001E-2</v>
      </c>
      <c r="B8" s="28">
        <v>0.217</v>
      </c>
    </row>
    <row r="9" spans="1:2" x14ac:dyDescent="0.3">
      <c r="A9" s="28">
        <v>2.1999999999999999E-2</v>
      </c>
      <c r="B9" s="28">
        <v>0.219</v>
      </c>
    </row>
    <row r="10" spans="1:2" x14ac:dyDescent="0.3">
      <c r="A10" s="28">
        <v>2.3E-2</v>
      </c>
      <c r="B10" s="28">
        <v>0.222</v>
      </c>
    </row>
    <row r="11" spans="1:2" x14ac:dyDescent="0.3">
      <c r="A11" s="28">
        <v>2.4E-2</v>
      </c>
      <c r="B11" s="28">
        <v>0.224</v>
      </c>
    </row>
    <row r="12" spans="1:2" x14ac:dyDescent="0.3">
      <c r="A12" s="28">
        <v>2.5000000000000001E-2</v>
      </c>
      <c r="B12" s="28">
        <v>0.22600000000000001</v>
      </c>
    </row>
    <row r="13" spans="1:2" x14ac:dyDescent="0.3">
      <c r="A13" s="28">
        <v>2.5999999999999999E-2</v>
      </c>
      <c r="B13" s="28">
        <v>0.22800000000000001</v>
      </c>
    </row>
    <row r="14" spans="1:2" x14ac:dyDescent="0.3">
      <c r="A14" s="28">
        <v>2.7E-2</v>
      </c>
      <c r="B14" s="28">
        <v>0.23</v>
      </c>
    </row>
    <row r="15" spans="1:2" x14ac:dyDescent="0.3">
      <c r="A15" s="28">
        <v>2.8000000000000001E-2</v>
      </c>
      <c r="B15" s="28">
        <v>0.23300000000000001</v>
      </c>
    </row>
    <row r="16" spans="1:2" x14ac:dyDescent="0.3">
      <c r="A16" s="28">
        <v>2.9000000000000001E-2</v>
      </c>
      <c r="B16" s="28">
        <v>0.23499999999999999</v>
      </c>
    </row>
    <row r="17" spans="1:2" x14ac:dyDescent="0.3">
      <c r="A17" s="28">
        <v>0.03</v>
      </c>
      <c r="B17" s="28">
        <v>0.23699999999999999</v>
      </c>
    </row>
    <row r="18" spans="1:2" x14ac:dyDescent="0.3">
      <c r="A18" s="28">
        <v>3.1E-2</v>
      </c>
      <c r="B18" s="28">
        <v>0.23899999999999999</v>
      </c>
    </row>
    <row r="19" spans="1:2" x14ac:dyDescent="0.3">
      <c r="A19" s="28">
        <v>3.2000000000000001E-2</v>
      </c>
      <c r="B19" s="28">
        <v>0.24099999999999999</v>
      </c>
    </row>
    <row r="20" spans="1:2" x14ac:dyDescent="0.3">
      <c r="A20" s="28">
        <v>3.3000000000000002E-2</v>
      </c>
      <c r="B20" s="28">
        <v>0.24299999999999999</v>
      </c>
    </row>
    <row r="21" spans="1:2" x14ac:dyDescent="0.3">
      <c r="A21" s="28">
        <v>3.4000000000000002E-2</v>
      </c>
      <c r="B21" s="28">
        <v>0.245</v>
      </c>
    </row>
    <row r="22" spans="1:2" x14ac:dyDescent="0.3">
      <c r="A22" s="28">
        <v>3.5000000000000003E-2</v>
      </c>
      <c r="B22" s="28">
        <v>0.247</v>
      </c>
    </row>
    <row r="23" spans="1:2" x14ac:dyDescent="0.3">
      <c r="A23" s="28">
        <v>3.5999999999999997E-2</v>
      </c>
      <c r="B23" s="28">
        <v>0.249</v>
      </c>
    </row>
    <row r="24" spans="1:2" x14ac:dyDescent="0.3">
      <c r="A24" s="28">
        <v>3.6999999999999998E-2</v>
      </c>
      <c r="B24" s="28">
        <v>0.25</v>
      </c>
    </row>
    <row r="25" spans="1:2" x14ac:dyDescent="0.3">
      <c r="A25" s="28">
        <v>3.7999999999999999E-2</v>
      </c>
      <c r="B25" s="28">
        <v>0.252</v>
      </c>
    </row>
    <row r="26" spans="1:2" x14ac:dyDescent="0.3">
      <c r="A26" s="28">
        <v>3.9E-2</v>
      </c>
      <c r="B26" s="28">
        <v>0.254</v>
      </c>
    </row>
    <row r="27" spans="1:2" x14ac:dyDescent="0.3">
      <c r="A27" s="28">
        <v>0.04</v>
      </c>
      <c r="B27" s="28">
        <v>0.25600000000000001</v>
      </c>
    </row>
    <row r="28" spans="1:2" x14ac:dyDescent="0.3">
      <c r="A28" s="28">
        <v>4.1000000000000002E-2</v>
      </c>
      <c r="B28" s="28">
        <v>0.25800000000000001</v>
      </c>
    </row>
    <row r="29" spans="1:2" x14ac:dyDescent="0.3">
      <c r="A29" s="28">
        <v>4.2000000000000003E-2</v>
      </c>
      <c r="B29" s="28">
        <v>0.25900000000000001</v>
      </c>
    </row>
    <row r="30" spans="1:2" x14ac:dyDescent="0.3">
      <c r="A30" s="28">
        <v>4.2999999999999997E-2</v>
      </c>
      <c r="B30" s="28">
        <v>0.26100000000000001</v>
      </c>
    </row>
    <row r="31" spans="1:2" x14ac:dyDescent="0.3">
      <c r="A31" s="28">
        <v>4.3999999999999997E-2</v>
      </c>
      <c r="B31" s="28">
        <v>0.26300000000000001</v>
      </c>
    </row>
    <row r="32" spans="1:2" x14ac:dyDescent="0.3">
      <c r="A32" s="28">
        <v>4.4999999999999998E-2</v>
      </c>
      <c r="B32" s="28">
        <v>0.26500000000000001</v>
      </c>
    </row>
    <row r="33" spans="1:2" x14ac:dyDescent="0.3">
      <c r="A33" s="28">
        <v>4.5999999999999999E-2</v>
      </c>
      <c r="B33" s="28">
        <v>0.26600000000000001</v>
      </c>
    </row>
    <row r="34" spans="1:2" x14ac:dyDescent="0.3">
      <c r="A34" s="28">
        <v>4.7E-2</v>
      </c>
      <c r="B34" s="28">
        <v>0.26800000000000002</v>
      </c>
    </row>
    <row r="35" spans="1:2" x14ac:dyDescent="0.3">
      <c r="A35" s="28">
        <v>4.8000000000000001E-2</v>
      </c>
      <c r="B35" s="28">
        <v>0.27</v>
      </c>
    </row>
    <row r="36" spans="1:2" x14ac:dyDescent="0.3">
      <c r="A36" s="28">
        <v>4.9000000000000002E-2</v>
      </c>
      <c r="B36" s="28">
        <v>0.27100000000000002</v>
      </c>
    </row>
    <row r="37" spans="1:2" x14ac:dyDescent="0.3">
      <c r="A37" s="28">
        <v>0.05</v>
      </c>
      <c r="B37" s="28">
        <v>0.27300000000000002</v>
      </c>
    </row>
    <row r="38" spans="1:2" x14ac:dyDescent="0.3">
      <c r="A38" s="28">
        <v>5.1999999999999998E-2</v>
      </c>
      <c r="B38" s="28">
        <v>0.27600000000000002</v>
      </c>
    </row>
    <row r="39" spans="1:2" x14ac:dyDescent="0.3">
      <c r="A39" s="28">
        <v>5.3999999999999999E-2</v>
      </c>
      <c r="B39" s="28">
        <v>0.28000000000000003</v>
      </c>
    </row>
    <row r="40" spans="1:2" x14ac:dyDescent="0.3">
      <c r="A40" s="28">
        <v>5.6000000000000001E-2</v>
      </c>
      <c r="B40" s="28">
        <v>0.28299999999999997</v>
      </c>
    </row>
    <row r="41" spans="1:2" x14ac:dyDescent="0.3">
      <c r="A41" s="28">
        <v>5.8000000000000003E-2</v>
      </c>
      <c r="B41" s="28">
        <v>0.28599999999999998</v>
      </c>
    </row>
    <row r="42" spans="1:2" x14ac:dyDescent="0.3">
      <c r="A42" s="28">
        <v>0.06</v>
      </c>
      <c r="B42" s="28">
        <v>0.28899999999999998</v>
      </c>
    </row>
    <row r="43" spans="1:2" x14ac:dyDescent="0.3">
      <c r="A43" s="28">
        <v>6.2E-2</v>
      </c>
      <c r="B43" s="28">
        <v>0.29199999999999998</v>
      </c>
    </row>
    <row r="44" spans="1:2" x14ac:dyDescent="0.3">
      <c r="A44" s="28">
        <v>6.4000000000000001E-2</v>
      </c>
      <c r="B44" s="28">
        <v>0.29499999999999998</v>
      </c>
    </row>
    <row r="45" spans="1:2" x14ac:dyDescent="0.3">
      <c r="A45" s="28">
        <v>6.5000000000000002E-2</v>
      </c>
      <c r="B45" s="28">
        <v>0.29799999999999999</v>
      </c>
    </row>
    <row r="46" spans="1:2" x14ac:dyDescent="0.3">
      <c r="A46" s="28">
        <v>6.8000000000000005E-2</v>
      </c>
      <c r="B46" s="28">
        <v>0.30099999999999999</v>
      </c>
    </row>
    <row r="47" spans="1:2" x14ac:dyDescent="0.3">
      <c r="A47" s="28">
        <v>7.0000000000000007E-2</v>
      </c>
      <c r="B47" s="28">
        <v>0.30399999999999999</v>
      </c>
    </row>
    <row r="48" spans="1:2" x14ac:dyDescent="0.3">
      <c r="A48" s="28">
        <v>7.1999999999999995E-2</v>
      </c>
      <c r="B48" s="28">
        <v>0.307</v>
      </c>
    </row>
    <row r="49" spans="1:2" x14ac:dyDescent="0.3">
      <c r="A49" s="28">
        <v>7.3999999999999996E-2</v>
      </c>
      <c r="B49" s="28">
        <v>0.309</v>
      </c>
    </row>
    <row r="50" spans="1:2" x14ac:dyDescent="0.3">
      <c r="A50" s="28">
        <v>7.5999999999999998E-2</v>
      </c>
      <c r="B50" s="28">
        <v>0.312</v>
      </c>
    </row>
    <row r="51" spans="1:2" x14ac:dyDescent="0.3">
      <c r="A51" s="28">
        <v>7.8E-2</v>
      </c>
      <c r="B51" s="28">
        <v>0.315</v>
      </c>
    </row>
    <row r="52" spans="1:2" x14ac:dyDescent="0.3">
      <c r="A52" s="28">
        <v>0.08</v>
      </c>
      <c r="B52" s="28">
        <v>0.318</v>
      </c>
    </row>
    <row r="53" spans="1:2" x14ac:dyDescent="0.3">
      <c r="A53" s="28">
        <v>8.2000000000000003E-2</v>
      </c>
      <c r="B53" s="28">
        <v>0.32</v>
      </c>
    </row>
    <row r="54" spans="1:2" x14ac:dyDescent="0.3">
      <c r="A54" s="28">
        <v>8.4000000000000005E-2</v>
      </c>
      <c r="B54" s="28">
        <v>0.32300000000000001</v>
      </c>
    </row>
    <row r="55" spans="1:2" x14ac:dyDescent="0.3">
      <c r="A55" s="28">
        <v>8.5999999999999993E-2</v>
      </c>
      <c r="B55" s="28">
        <v>0.32600000000000001</v>
      </c>
    </row>
    <row r="56" spans="1:2" x14ac:dyDescent="0.3">
      <c r="A56" s="28">
        <v>8.7999999999999995E-2</v>
      </c>
      <c r="B56" s="28">
        <v>0.32800000000000001</v>
      </c>
    </row>
    <row r="57" spans="1:2" x14ac:dyDescent="0.3">
      <c r="A57" s="28">
        <v>0.09</v>
      </c>
      <c r="B57" s="28">
        <v>0.33100000000000002</v>
      </c>
    </row>
    <row r="58" spans="1:2" x14ac:dyDescent="0.3">
      <c r="A58" s="28">
        <v>9.1999999999999998E-2</v>
      </c>
      <c r="B58" s="28">
        <v>0.33300000000000002</v>
      </c>
    </row>
    <row r="59" spans="1:2" x14ac:dyDescent="0.3">
      <c r="A59" s="28">
        <v>9.4E-2</v>
      </c>
      <c r="B59" s="28">
        <v>0.33600000000000002</v>
      </c>
    </row>
    <row r="60" spans="1:2" x14ac:dyDescent="0.3">
      <c r="A60" s="28">
        <v>9.6000000000000002E-2</v>
      </c>
      <c r="B60" s="28">
        <v>0.33800000000000002</v>
      </c>
    </row>
    <row r="61" spans="1:2" x14ac:dyDescent="0.3">
      <c r="A61" s="28">
        <v>9.8000000000000004E-2</v>
      </c>
      <c r="B61" s="28">
        <v>0.34100000000000003</v>
      </c>
    </row>
    <row r="62" spans="1:2" x14ac:dyDescent="0.3">
      <c r="A62" s="28">
        <v>0.1</v>
      </c>
      <c r="B62" s="28">
        <v>0.34300000000000003</v>
      </c>
    </row>
    <row r="63" spans="1:2" x14ac:dyDescent="0.3">
      <c r="A63" s="28">
        <v>0.105</v>
      </c>
      <c r="B63" s="28">
        <v>0.34899999999999998</v>
      </c>
    </row>
    <row r="64" spans="1:2" x14ac:dyDescent="0.3">
      <c r="A64" s="28">
        <v>0.11</v>
      </c>
      <c r="B64" s="28">
        <v>0.35499999999999998</v>
      </c>
    </row>
    <row r="65" spans="1:2" x14ac:dyDescent="0.3">
      <c r="A65" s="28">
        <v>0.115</v>
      </c>
      <c r="B65" s="28">
        <v>0.36099999999999999</v>
      </c>
    </row>
    <row r="66" spans="1:2" x14ac:dyDescent="0.3">
      <c r="A66" s="28">
        <v>0.12</v>
      </c>
      <c r="B66" s="28">
        <v>0.36699999999999999</v>
      </c>
    </row>
    <row r="67" spans="1:2" x14ac:dyDescent="0.3">
      <c r="A67" s="28">
        <v>0.125</v>
      </c>
      <c r="B67" s="28">
        <v>0.373</v>
      </c>
    </row>
    <row r="68" spans="1:2" x14ac:dyDescent="0.3">
      <c r="A68" s="28">
        <v>0.13</v>
      </c>
      <c r="B68" s="28">
        <v>0.378</v>
      </c>
    </row>
    <row r="69" spans="1:2" x14ac:dyDescent="0.3">
      <c r="A69" s="28">
        <v>0.13500000000000001</v>
      </c>
      <c r="B69" s="28">
        <v>0.38400000000000001</v>
      </c>
    </row>
    <row r="70" spans="1:2" x14ac:dyDescent="0.3">
      <c r="A70" s="28">
        <v>0.14000000000000001</v>
      </c>
      <c r="B70" s="28">
        <v>0.38900000000000001</v>
      </c>
    </row>
    <row r="71" spans="1:2" x14ac:dyDescent="0.3">
      <c r="A71" s="28">
        <v>0.14499999999999999</v>
      </c>
      <c r="B71" s="28">
        <v>0.39400000000000002</v>
      </c>
    </row>
    <row r="72" spans="1:2" x14ac:dyDescent="0.3">
      <c r="A72" s="28">
        <v>0.15</v>
      </c>
      <c r="B72" s="28">
        <v>0.39900000000000002</v>
      </c>
    </row>
    <row r="73" spans="1:2" x14ac:dyDescent="0.3">
      <c r="A73" s="28">
        <v>0.155</v>
      </c>
      <c r="B73" s="28">
        <v>0.40500000000000003</v>
      </c>
    </row>
    <row r="74" spans="1:2" x14ac:dyDescent="0.3">
      <c r="A74" s="28">
        <v>0.16</v>
      </c>
      <c r="B74" s="28">
        <v>0.41</v>
      </c>
    </row>
    <row r="75" spans="1:2" x14ac:dyDescent="0.3">
      <c r="A75" s="28">
        <v>0.16500000000000001</v>
      </c>
      <c r="B75" s="28">
        <v>0.41499999999999998</v>
      </c>
    </row>
    <row r="76" spans="1:2" x14ac:dyDescent="0.3">
      <c r="A76" s="28">
        <v>0.17</v>
      </c>
      <c r="B76" s="28">
        <v>0.42</v>
      </c>
    </row>
    <row r="77" spans="1:2" x14ac:dyDescent="0.3">
      <c r="A77" s="28">
        <v>0.17499999999999999</v>
      </c>
      <c r="B77" s="28">
        <v>0.42499999999999999</v>
      </c>
    </row>
    <row r="78" spans="1:2" x14ac:dyDescent="0.3">
      <c r="A78" s="28">
        <v>0.18</v>
      </c>
      <c r="B78" s="28">
        <v>0.43</v>
      </c>
    </row>
    <row r="79" spans="1:2" x14ac:dyDescent="0.3">
      <c r="A79" s="28">
        <v>0.185</v>
      </c>
      <c r="B79" s="28">
        <v>0.435</v>
      </c>
    </row>
    <row r="80" spans="1:2" x14ac:dyDescent="0.3">
      <c r="A80" s="28">
        <v>0.19</v>
      </c>
      <c r="B80" s="28">
        <v>0.439</v>
      </c>
    </row>
    <row r="81" spans="1:2" x14ac:dyDescent="0.3">
      <c r="A81" s="28">
        <v>0.19500000000000001</v>
      </c>
      <c r="B81" s="28">
        <v>0.44400000000000001</v>
      </c>
    </row>
    <row r="82" spans="1:2" x14ac:dyDescent="0.3">
      <c r="A82" s="28">
        <v>0.2</v>
      </c>
      <c r="B82" s="28">
        <v>0.44900000000000001</v>
      </c>
    </row>
    <row r="83" spans="1:2" x14ac:dyDescent="0.3">
      <c r="A83" s="28">
        <v>0.21</v>
      </c>
      <c r="B83" s="28">
        <v>0.45800000000000002</v>
      </c>
    </row>
    <row r="84" spans="1:2" x14ac:dyDescent="0.3">
      <c r="A84" s="28">
        <v>0.22</v>
      </c>
      <c r="B84" s="28">
        <v>0.46700000000000003</v>
      </c>
    </row>
    <row r="85" spans="1:2" x14ac:dyDescent="0.3">
      <c r="A85" s="28">
        <v>0.23</v>
      </c>
      <c r="B85" s="28">
        <v>0.47599999999999998</v>
      </c>
    </row>
    <row r="86" spans="1:2" x14ac:dyDescent="0.3">
      <c r="A86" s="28">
        <v>0.24</v>
      </c>
      <c r="B86" s="28">
        <v>0.48499999999999999</v>
      </c>
    </row>
    <row r="87" spans="1:2" x14ac:dyDescent="0.3">
      <c r="A87" s="28">
        <v>0.25</v>
      </c>
      <c r="B87" s="28">
        <v>0.49299999999999999</v>
      </c>
    </row>
    <row r="88" spans="1:2" x14ac:dyDescent="0.3">
      <c r="A88" s="28">
        <v>0.26</v>
      </c>
      <c r="B88" s="28">
        <v>0.502</v>
      </c>
    </row>
    <row r="89" spans="1:2" x14ac:dyDescent="0.3">
      <c r="A89" s="28">
        <v>0.27</v>
      </c>
      <c r="B89" s="28">
        <v>0.51</v>
      </c>
    </row>
    <row r="90" spans="1:2" x14ac:dyDescent="0.3">
      <c r="A90" s="28">
        <v>0.28000000000000003</v>
      </c>
      <c r="B90" s="28">
        <v>0.51800000000000002</v>
      </c>
    </row>
    <row r="91" spans="1:2" x14ac:dyDescent="0.3">
      <c r="A91" s="28">
        <v>0.28999999999999998</v>
      </c>
      <c r="B91" s="28">
        <v>0.52600000000000002</v>
      </c>
    </row>
    <row r="92" spans="1:2" x14ac:dyDescent="0.3">
      <c r="A92" s="28">
        <v>0.3</v>
      </c>
      <c r="B92" s="28">
        <v>0.53400000000000003</v>
      </c>
    </row>
    <row r="93" spans="1:2" x14ac:dyDescent="0.3">
      <c r="A93" s="28">
        <v>0.31</v>
      </c>
      <c r="B93" s="28">
        <v>0.54200000000000004</v>
      </c>
    </row>
    <row r="94" spans="1:2" x14ac:dyDescent="0.3">
      <c r="A94" s="28">
        <v>0.32</v>
      </c>
      <c r="B94" s="28">
        <v>0.55000000000000004</v>
      </c>
    </row>
    <row r="95" spans="1:2" x14ac:dyDescent="0.3">
      <c r="A95" s="28">
        <v>0.33</v>
      </c>
      <c r="B95" s="28">
        <v>0.55800000000000005</v>
      </c>
    </row>
    <row r="96" spans="1:2" x14ac:dyDescent="0.3">
      <c r="A96" s="28">
        <v>0.34</v>
      </c>
      <c r="B96" s="28">
        <v>0.56499999999999995</v>
      </c>
    </row>
    <row r="97" spans="1:2" x14ac:dyDescent="0.3">
      <c r="A97" s="28">
        <v>0.35</v>
      </c>
      <c r="B97" s="28">
        <v>0.57299999999999995</v>
      </c>
    </row>
    <row r="98" spans="1:2" x14ac:dyDescent="0.3">
      <c r="A98" s="28">
        <v>0.36</v>
      </c>
      <c r="B98" s="28">
        <v>0.57999999999999996</v>
      </c>
    </row>
    <row r="99" spans="1:2" x14ac:dyDescent="0.3">
      <c r="A99" s="28">
        <v>0.37</v>
      </c>
      <c r="B99" s="28">
        <v>0.58799999999999997</v>
      </c>
    </row>
    <row r="100" spans="1:2" x14ac:dyDescent="0.3">
      <c r="A100" s="28">
        <v>0.38</v>
      </c>
      <c r="B100" s="28">
        <v>0.59499999999999997</v>
      </c>
    </row>
    <row r="101" spans="1:2" x14ac:dyDescent="0.3">
      <c r="A101" s="28">
        <v>0.39</v>
      </c>
      <c r="B101" s="28">
        <v>0.60199999999999998</v>
      </c>
    </row>
    <row r="102" spans="1:2" x14ac:dyDescent="0.3">
      <c r="A102" s="28">
        <v>0.4</v>
      </c>
      <c r="B102" s="28">
        <v>0.61</v>
      </c>
    </row>
    <row r="103" spans="1:2" x14ac:dyDescent="0.3">
      <c r="A103" s="28">
        <v>0.41</v>
      </c>
      <c r="B103" s="28">
        <v>0.61699999999999999</v>
      </c>
    </row>
    <row r="104" spans="1:2" x14ac:dyDescent="0.3">
      <c r="A104" s="28">
        <v>0.42</v>
      </c>
      <c r="B104" s="28">
        <v>0.624</v>
      </c>
    </row>
    <row r="105" spans="1:2" x14ac:dyDescent="0.3">
      <c r="A105" s="28">
        <v>0.43</v>
      </c>
      <c r="B105" s="28">
        <v>0.63100000000000001</v>
      </c>
    </row>
    <row r="106" spans="1:2" x14ac:dyDescent="0.3">
      <c r="A106" s="28">
        <v>0.44</v>
      </c>
      <c r="B106" s="28">
        <v>0.63800000000000001</v>
      </c>
    </row>
    <row r="107" spans="1:2" x14ac:dyDescent="0.3">
      <c r="A107" s="28">
        <v>0.45</v>
      </c>
      <c r="B107" s="28">
        <v>0.64500000000000002</v>
      </c>
    </row>
    <row r="108" spans="1:2" x14ac:dyDescent="0.3">
      <c r="A108" s="28">
        <v>0.46</v>
      </c>
      <c r="B108" s="28">
        <v>0.65200000000000002</v>
      </c>
    </row>
    <row r="109" spans="1:2" x14ac:dyDescent="0.3">
      <c r="A109" s="28">
        <v>0.47</v>
      </c>
      <c r="B109" s="28">
        <v>0.65800000000000003</v>
      </c>
    </row>
    <row r="110" spans="1:2" x14ac:dyDescent="0.3">
      <c r="A110" s="28">
        <v>0.48</v>
      </c>
      <c r="B110" s="28">
        <v>0.66500000000000004</v>
      </c>
    </row>
    <row r="111" spans="1:2" x14ac:dyDescent="0.3">
      <c r="A111" s="28">
        <v>0.49</v>
      </c>
      <c r="B111" s="28">
        <v>0.67200000000000004</v>
      </c>
    </row>
    <row r="112" spans="1:2" x14ac:dyDescent="0.3">
      <c r="A112" s="28">
        <v>0.5</v>
      </c>
      <c r="B112" s="28">
        <v>0.67800000000000005</v>
      </c>
    </row>
    <row r="113" spans="1:2" x14ac:dyDescent="0.3">
      <c r="A113" s="28">
        <v>0.52</v>
      </c>
      <c r="B113" s="28">
        <v>0.69199999999999995</v>
      </c>
    </row>
    <row r="114" spans="1:2" x14ac:dyDescent="0.3">
      <c r="A114" s="28">
        <v>0.54</v>
      </c>
      <c r="B114" s="28">
        <v>0.70399999999999996</v>
      </c>
    </row>
    <row r="115" spans="1:2" x14ac:dyDescent="0.3">
      <c r="A115" s="28">
        <v>0.56000000000000005</v>
      </c>
      <c r="B115" s="28">
        <v>0.71699999999999997</v>
      </c>
    </row>
    <row r="116" spans="1:2" x14ac:dyDescent="0.3">
      <c r="A116" s="28">
        <v>0.57999999999999996</v>
      </c>
      <c r="B116" s="28">
        <v>0.73</v>
      </c>
    </row>
    <row r="117" spans="1:2" x14ac:dyDescent="0.3">
      <c r="A117" s="28">
        <v>0.6</v>
      </c>
      <c r="B117" s="28">
        <v>0.74199999999999999</v>
      </c>
    </row>
    <row r="118" spans="1:2" x14ac:dyDescent="0.3">
      <c r="A118" s="28">
        <v>0.62</v>
      </c>
      <c r="B118" s="28">
        <v>0.755</v>
      </c>
    </row>
    <row r="119" spans="1:2" x14ac:dyDescent="0.3">
      <c r="A119" s="28">
        <v>0.64</v>
      </c>
      <c r="B119" s="28">
        <v>0.76700000000000002</v>
      </c>
    </row>
    <row r="120" spans="1:2" x14ac:dyDescent="0.3">
      <c r="A120" s="28">
        <v>0.66</v>
      </c>
      <c r="B120" s="28">
        <v>0.77900000000000003</v>
      </c>
    </row>
    <row r="121" spans="1:2" x14ac:dyDescent="0.3">
      <c r="A121" s="28">
        <v>0.68</v>
      </c>
      <c r="B121" s="28">
        <v>0.79100000000000004</v>
      </c>
    </row>
    <row r="122" spans="1:2" x14ac:dyDescent="0.3">
      <c r="A122" s="28">
        <v>0.7</v>
      </c>
      <c r="B122" s="28">
        <v>0.80300000000000005</v>
      </c>
    </row>
    <row r="123" spans="1:2" x14ac:dyDescent="0.3">
      <c r="A123" s="28">
        <v>0.72</v>
      </c>
      <c r="B123" s="28">
        <v>0.81499999999999995</v>
      </c>
    </row>
    <row r="124" spans="1:2" x14ac:dyDescent="0.3">
      <c r="A124" s="28">
        <v>0.74</v>
      </c>
      <c r="B124" s="28">
        <v>0.82599999999999996</v>
      </c>
    </row>
    <row r="125" spans="1:2" x14ac:dyDescent="0.3">
      <c r="A125" s="28">
        <v>0.76</v>
      </c>
      <c r="B125" s="28">
        <v>0.83799999999999997</v>
      </c>
    </row>
    <row r="126" spans="1:2" x14ac:dyDescent="0.3">
      <c r="A126" s="28">
        <v>0.78</v>
      </c>
      <c r="B126" s="28">
        <v>0.84899999999999998</v>
      </c>
    </row>
    <row r="127" spans="1:2" x14ac:dyDescent="0.3">
      <c r="A127" s="28">
        <v>0.8</v>
      </c>
      <c r="B127" s="28">
        <v>0.86</v>
      </c>
    </row>
    <row r="128" spans="1:2" x14ac:dyDescent="0.3">
      <c r="A128" s="28">
        <v>0.82</v>
      </c>
      <c r="B128" s="28">
        <v>0.872</v>
      </c>
    </row>
    <row r="129" spans="1:2" x14ac:dyDescent="0.3">
      <c r="A129" s="28">
        <v>0.84</v>
      </c>
      <c r="B129" s="28">
        <v>0.88300000000000001</v>
      </c>
    </row>
    <row r="130" spans="1:2" x14ac:dyDescent="0.3">
      <c r="A130" s="28">
        <v>0.86</v>
      </c>
      <c r="B130" s="28">
        <v>0.89400000000000002</v>
      </c>
    </row>
    <row r="131" spans="1:2" x14ac:dyDescent="0.3">
      <c r="A131" s="28">
        <v>0.88</v>
      </c>
      <c r="B131" s="28">
        <v>0.90500000000000003</v>
      </c>
    </row>
    <row r="132" spans="1:2" x14ac:dyDescent="0.3">
      <c r="A132" s="28">
        <v>0.9</v>
      </c>
      <c r="B132" s="28">
        <v>0.91600000000000004</v>
      </c>
    </row>
    <row r="133" spans="1:2" x14ac:dyDescent="0.3">
      <c r="A133" s="28">
        <v>0.92</v>
      </c>
      <c r="B133" s="28">
        <v>0.92700000000000005</v>
      </c>
    </row>
    <row r="134" spans="1:2" x14ac:dyDescent="0.3">
      <c r="A134" s="28">
        <v>0.94</v>
      </c>
      <c r="B134" s="28">
        <v>0.93700000000000006</v>
      </c>
    </row>
    <row r="135" spans="1:2" x14ac:dyDescent="0.3">
      <c r="A135" s="28">
        <v>0.96</v>
      </c>
      <c r="B135" s="28">
        <v>0.94799999999999995</v>
      </c>
    </row>
    <row r="136" spans="1:2" x14ac:dyDescent="0.3">
      <c r="A136" s="28">
        <v>0.98</v>
      </c>
      <c r="B136" s="28">
        <v>0.95899999999999996</v>
      </c>
    </row>
    <row r="137" spans="1:2" x14ac:dyDescent="0.3">
      <c r="A137" s="28">
        <v>1</v>
      </c>
      <c r="B137" s="28">
        <v>0.96899999999999997</v>
      </c>
    </row>
    <row r="138" spans="1:2" x14ac:dyDescent="0.3">
      <c r="A138" s="28">
        <v>1.05</v>
      </c>
      <c r="B138" s="28">
        <v>0.995</v>
      </c>
    </row>
    <row r="139" spans="1:2" x14ac:dyDescent="0.3">
      <c r="A139" s="28">
        <v>1.1000000000000001</v>
      </c>
      <c r="B139" s="28">
        <v>1.0209999999999999</v>
      </c>
    </row>
    <row r="140" spans="1:2" x14ac:dyDescent="0.3">
      <c r="A140" s="28">
        <v>1.1499999999999999</v>
      </c>
      <c r="B140" s="28">
        <v>1.046</v>
      </c>
    </row>
    <row r="141" spans="1:2" x14ac:dyDescent="0.3">
      <c r="A141" s="28">
        <v>1.2</v>
      </c>
      <c r="B141" s="28">
        <v>1.071</v>
      </c>
    </row>
    <row r="142" spans="1:2" x14ac:dyDescent="0.3">
      <c r="A142" s="28">
        <v>1.25</v>
      </c>
      <c r="B142" s="28">
        <v>1.0960000000000001</v>
      </c>
    </row>
    <row r="143" spans="1:2" x14ac:dyDescent="0.3">
      <c r="A143" s="28">
        <v>1.3</v>
      </c>
      <c r="B143" s="28">
        <v>1.1200000000000001</v>
      </c>
    </row>
    <row r="144" spans="1:2" x14ac:dyDescent="0.3">
      <c r="A144" s="28">
        <v>1.35</v>
      </c>
      <c r="B144" s="28">
        <v>1.1439999999999999</v>
      </c>
    </row>
    <row r="145" spans="1:2" x14ac:dyDescent="0.3">
      <c r="A145" s="28">
        <v>1.4</v>
      </c>
      <c r="B145" s="28">
        <v>1.1679999999999999</v>
      </c>
    </row>
    <row r="146" spans="1:2" x14ac:dyDescent="0.3">
      <c r="A146" s="28">
        <v>1.45</v>
      </c>
      <c r="B146" s="28">
        <v>1.1910000000000001</v>
      </c>
    </row>
    <row r="147" spans="1:2" x14ac:dyDescent="0.3">
      <c r="A147" s="28">
        <v>1.5</v>
      </c>
      <c r="B147" s="28">
        <v>1.2150000000000001</v>
      </c>
    </row>
    <row r="148" spans="1:2" x14ac:dyDescent="0.3">
      <c r="A148" s="28">
        <v>1.55</v>
      </c>
      <c r="B148" s="28">
        <v>1.238</v>
      </c>
    </row>
    <row r="149" spans="1:2" x14ac:dyDescent="0.3">
      <c r="A149" s="28">
        <v>1.6</v>
      </c>
      <c r="B149" s="28">
        <v>1.2609999999999999</v>
      </c>
    </row>
    <row r="150" spans="1:2" x14ac:dyDescent="0.3">
      <c r="A150" s="28">
        <v>1.65</v>
      </c>
      <c r="B150" s="28">
        <v>1.2829999999999999</v>
      </c>
    </row>
    <row r="151" spans="1:2" x14ac:dyDescent="0.3">
      <c r="A151" s="28">
        <v>1.7</v>
      </c>
      <c r="B151" s="28">
        <v>1.306</v>
      </c>
    </row>
    <row r="152" spans="1:2" x14ac:dyDescent="0.3">
      <c r="A152" s="28">
        <v>1.75</v>
      </c>
      <c r="B152" s="28">
        <v>1.3280000000000001</v>
      </c>
    </row>
    <row r="153" spans="1:2" x14ac:dyDescent="0.3">
      <c r="A153" s="28">
        <v>1.8</v>
      </c>
      <c r="B153" s="28">
        <v>1.35</v>
      </c>
    </row>
    <row r="154" spans="1:2" x14ac:dyDescent="0.3">
      <c r="A154" s="28">
        <v>1.85</v>
      </c>
      <c r="B154" s="28">
        <v>1.3720000000000001</v>
      </c>
    </row>
    <row r="155" spans="1:2" x14ac:dyDescent="0.3">
      <c r="A155" s="28">
        <v>1.9</v>
      </c>
      <c r="B155" s="28">
        <v>1.3939999999999999</v>
      </c>
    </row>
    <row r="156" spans="1:2" x14ac:dyDescent="0.3">
      <c r="A156" s="28">
        <v>1.95</v>
      </c>
      <c r="B156" s="28">
        <v>1.4159999999999999</v>
      </c>
    </row>
    <row r="157" spans="1:2" x14ac:dyDescent="0.3">
      <c r="A157" s="28">
        <v>2</v>
      </c>
      <c r="B157" s="28">
        <v>1.4370000000000001</v>
      </c>
    </row>
    <row r="158" spans="1:2" x14ac:dyDescent="0.3">
      <c r="A158" s="28">
        <v>2.1</v>
      </c>
      <c r="B158" s="28">
        <v>1.4790000000000001</v>
      </c>
    </row>
    <row r="159" spans="1:2" x14ac:dyDescent="0.3">
      <c r="A159" s="28">
        <v>2.2000000000000002</v>
      </c>
      <c r="B159" s="28">
        <v>1.5209999999999999</v>
      </c>
    </row>
    <row r="160" spans="1:2" x14ac:dyDescent="0.3">
      <c r="A160" s="28">
        <v>2.2999999999999998</v>
      </c>
      <c r="B160" s="28">
        <v>1.5629999999999999</v>
      </c>
    </row>
    <row r="161" spans="1:2" x14ac:dyDescent="0.3">
      <c r="A161" s="28">
        <v>2.4</v>
      </c>
      <c r="B161" s="28">
        <v>1.6040000000000001</v>
      </c>
    </row>
    <row r="162" spans="1:2" x14ac:dyDescent="0.3">
      <c r="A162" s="28">
        <v>2.5</v>
      </c>
      <c r="B162" s="28">
        <v>1.6439999999999999</v>
      </c>
    </row>
    <row r="163" spans="1:2" x14ac:dyDescent="0.3">
      <c r="A163" s="28">
        <v>2.6</v>
      </c>
      <c r="B163" s="28">
        <v>1.6839999999999999</v>
      </c>
    </row>
    <row r="164" spans="1:2" x14ac:dyDescent="0.3">
      <c r="A164" s="28">
        <v>2.7</v>
      </c>
      <c r="B164" s="28">
        <v>1.724</v>
      </c>
    </row>
    <row r="165" spans="1:2" x14ac:dyDescent="0.3">
      <c r="A165" s="28">
        <v>2.8</v>
      </c>
      <c r="B165" s="28">
        <v>1.7629999999999999</v>
      </c>
    </row>
    <row r="166" spans="1:2" x14ac:dyDescent="0.3">
      <c r="A166" s="28">
        <v>2.9</v>
      </c>
      <c r="B166" s="28">
        <v>1.802</v>
      </c>
    </row>
    <row r="167" spans="1:2" x14ac:dyDescent="0.3">
      <c r="A167" s="28">
        <v>3</v>
      </c>
      <c r="B167" s="28">
        <v>1.84</v>
      </c>
    </row>
    <row r="168" spans="1:2" x14ac:dyDescent="0.3">
      <c r="A168" s="28">
        <v>3.1</v>
      </c>
      <c r="B168" s="28">
        <v>1.879</v>
      </c>
    </row>
    <row r="169" spans="1:2" x14ac:dyDescent="0.3">
      <c r="A169" s="28">
        <v>3.2</v>
      </c>
      <c r="B169" s="28">
        <v>1.917</v>
      </c>
    </row>
    <row r="170" spans="1:2" x14ac:dyDescent="0.3">
      <c r="A170" s="28">
        <v>3.3</v>
      </c>
      <c r="B170" s="28">
        <v>1.954</v>
      </c>
    </row>
    <row r="171" spans="1:2" x14ac:dyDescent="0.3">
      <c r="A171" s="28">
        <v>3.4</v>
      </c>
      <c r="B171" s="28">
        <v>1.9910000000000001</v>
      </c>
    </row>
    <row r="172" spans="1:2" x14ac:dyDescent="0.3">
      <c r="A172" s="28">
        <v>3.5</v>
      </c>
      <c r="B172" s="28">
        <v>2.0289999999999999</v>
      </c>
    </row>
    <row r="173" spans="1:2" x14ac:dyDescent="0.3">
      <c r="A173" s="28">
        <v>3.6</v>
      </c>
      <c r="B173" s="28">
        <v>2.0649999999999999</v>
      </c>
    </row>
    <row r="174" spans="1:2" x14ac:dyDescent="0.3">
      <c r="A174" s="28">
        <v>3.7</v>
      </c>
      <c r="B174" s="28">
        <v>2.1019999999999999</v>
      </c>
    </row>
    <row r="175" spans="1:2" x14ac:dyDescent="0.3">
      <c r="A175" s="28">
        <v>3.8</v>
      </c>
      <c r="B175" s="28">
        <v>2.1379999999999999</v>
      </c>
    </row>
    <row r="176" spans="1:2" x14ac:dyDescent="0.3">
      <c r="A176" s="28">
        <v>3.9</v>
      </c>
      <c r="B176" s="28">
        <v>2.1739999999999999</v>
      </c>
    </row>
    <row r="177" spans="1:2" x14ac:dyDescent="0.3">
      <c r="A177" s="28">
        <v>4</v>
      </c>
      <c r="B177" s="28">
        <v>2.21</v>
      </c>
    </row>
    <row r="178" spans="1:2" x14ac:dyDescent="0.3">
      <c r="A178" s="28">
        <v>4.0999999999999996</v>
      </c>
      <c r="B178" s="28">
        <v>2.246</v>
      </c>
    </row>
    <row r="179" spans="1:2" x14ac:dyDescent="0.3">
      <c r="A179" s="28">
        <v>4.2</v>
      </c>
      <c r="B179" s="28">
        <v>2.2810000000000001</v>
      </c>
    </row>
    <row r="180" spans="1:2" x14ac:dyDescent="0.3">
      <c r="A180" s="28">
        <v>4.3</v>
      </c>
      <c r="B180" s="28">
        <v>2.3170000000000002</v>
      </c>
    </row>
    <row r="181" spans="1:2" x14ac:dyDescent="0.3">
      <c r="A181" s="28">
        <v>4.4000000000000004</v>
      </c>
      <c r="B181" s="28">
        <v>2.3519999999999999</v>
      </c>
    </row>
    <row r="182" spans="1:2" x14ac:dyDescent="0.3">
      <c r="A182" s="28">
        <v>4.5</v>
      </c>
      <c r="B182" s="28">
        <v>2.3860000000000001</v>
      </c>
    </row>
    <row r="183" spans="1:2" x14ac:dyDescent="0.3">
      <c r="A183" s="28">
        <v>4.5999999999999996</v>
      </c>
      <c r="B183" s="28">
        <v>2.4209999999999998</v>
      </c>
    </row>
    <row r="184" spans="1:2" x14ac:dyDescent="0.3">
      <c r="A184" s="28">
        <v>4.7</v>
      </c>
      <c r="B184" s="28">
        <v>2.456</v>
      </c>
    </row>
    <row r="185" spans="1:2" x14ac:dyDescent="0.3">
      <c r="A185" s="28">
        <v>4.8</v>
      </c>
      <c r="B185" s="28">
        <v>2.4900000000000002</v>
      </c>
    </row>
    <row r="186" spans="1:2" x14ac:dyDescent="0.3">
      <c r="A186" s="28">
        <v>4.9000000000000004</v>
      </c>
      <c r="B186" s="28">
        <v>2.524</v>
      </c>
    </row>
    <row r="187" spans="1:2" x14ac:dyDescent="0.3">
      <c r="A187" s="28">
        <v>5</v>
      </c>
      <c r="B187" s="28">
        <v>2.5579999999999998</v>
      </c>
    </row>
    <row r="188" spans="1:2" x14ac:dyDescent="0.3">
      <c r="A188" s="28">
        <v>5.0999999999999996</v>
      </c>
      <c r="B188" s="28">
        <v>2.5920000000000001</v>
      </c>
    </row>
    <row r="189" spans="1:2" x14ac:dyDescent="0.3">
      <c r="A189" s="28">
        <v>5.2</v>
      </c>
      <c r="B189" s="28">
        <v>2.6259999999999999</v>
      </c>
    </row>
    <row r="190" spans="1:2" x14ac:dyDescent="0.3">
      <c r="A190" s="28">
        <v>5.3</v>
      </c>
      <c r="B190" s="28">
        <v>2.66</v>
      </c>
    </row>
    <row r="191" spans="1:2" x14ac:dyDescent="0.3">
      <c r="A191" s="28">
        <v>5.4</v>
      </c>
      <c r="B191" s="28">
        <v>2.6930000000000001</v>
      </c>
    </row>
    <row r="192" spans="1:2" x14ac:dyDescent="0.3">
      <c r="A192" s="28">
        <v>5.5</v>
      </c>
      <c r="B192" s="28">
        <v>2.726</v>
      </c>
    </row>
    <row r="193" spans="1:2" x14ac:dyDescent="0.3">
      <c r="A193" s="28">
        <v>5.6</v>
      </c>
      <c r="B193" s="28">
        <v>2.76</v>
      </c>
    </row>
    <row r="194" spans="1:2" x14ac:dyDescent="0.3">
      <c r="A194" s="28">
        <v>5.7</v>
      </c>
      <c r="B194" s="28">
        <v>2.7930000000000001</v>
      </c>
    </row>
    <row r="195" spans="1:2" x14ac:dyDescent="0.3">
      <c r="A195" s="28">
        <v>5.8</v>
      </c>
      <c r="B195" s="28">
        <v>2.8260000000000001</v>
      </c>
    </row>
    <row r="196" spans="1:2" x14ac:dyDescent="0.3">
      <c r="A196" s="28">
        <v>5.9</v>
      </c>
      <c r="B196" s="28">
        <v>2.8580000000000001</v>
      </c>
    </row>
    <row r="197" spans="1:2" x14ac:dyDescent="0.3">
      <c r="A197" s="28">
        <v>6</v>
      </c>
      <c r="B197" s="28">
        <v>2.891</v>
      </c>
    </row>
    <row r="198" spans="1:2" x14ac:dyDescent="0.3">
      <c r="A198" s="28">
        <v>6.1</v>
      </c>
      <c r="B198" s="28">
        <v>2.9239999999999999</v>
      </c>
    </row>
    <row r="199" spans="1:2" x14ac:dyDescent="0.3">
      <c r="A199" s="28">
        <v>6.2</v>
      </c>
      <c r="B199" s="28">
        <v>2.956</v>
      </c>
    </row>
    <row r="200" spans="1:2" x14ac:dyDescent="0.3">
      <c r="A200" s="28">
        <v>6.3</v>
      </c>
      <c r="B200" s="28">
        <v>2.9889999999999999</v>
      </c>
    </row>
    <row r="201" spans="1:2" x14ac:dyDescent="0.3">
      <c r="A201" s="28">
        <v>6.4</v>
      </c>
      <c r="B201" s="28">
        <v>3.0209999999999999</v>
      </c>
    </row>
    <row r="202" spans="1:2" x14ac:dyDescent="0.3">
      <c r="A202" s="28">
        <v>6.5</v>
      </c>
      <c r="B202" s="28">
        <v>3.0529999999999999</v>
      </c>
    </row>
    <row r="203" spans="1:2" x14ac:dyDescent="0.3">
      <c r="A203" s="28">
        <v>6.6</v>
      </c>
      <c r="B203" s="28">
        <v>3.085</v>
      </c>
    </row>
    <row r="204" spans="1:2" x14ac:dyDescent="0.3">
      <c r="A204" s="28">
        <v>6.7</v>
      </c>
      <c r="B204" s="28">
        <v>3.117</v>
      </c>
    </row>
    <row r="205" spans="1:2" x14ac:dyDescent="0.3">
      <c r="A205" s="28">
        <v>6.8</v>
      </c>
      <c r="B205" s="28">
        <v>3.149</v>
      </c>
    </row>
    <row r="206" spans="1:2" x14ac:dyDescent="0.3">
      <c r="A206" s="28">
        <v>6.9</v>
      </c>
      <c r="B206" s="28">
        <v>3.181</v>
      </c>
    </row>
    <row r="207" spans="1:2" x14ac:dyDescent="0.3">
      <c r="A207" s="28">
        <v>7</v>
      </c>
      <c r="B207" s="28">
        <v>3.2120000000000002</v>
      </c>
    </row>
    <row r="208" spans="1:2" x14ac:dyDescent="0.3">
      <c r="A208" s="28">
        <v>7.1</v>
      </c>
      <c r="B208" s="28">
        <v>3.2440000000000002</v>
      </c>
    </row>
    <row r="209" spans="1:2" x14ac:dyDescent="0.3">
      <c r="A209" s="28">
        <v>7.2</v>
      </c>
      <c r="B209" s="28">
        <v>3.2749999999999999</v>
      </c>
    </row>
    <row r="210" spans="1:2" x14ac:dyDescent="0.3">
      <c r="A210" s="28">
        <v>7.3</v>
      </c>
      <c r="B210" s="28">
        <v>3.3069999999999999</v>
      </c>
    </row>
    <row r="211" spans="1:2" x14ac:dyDescent="0.3">
      <c r="A211" s="28">
        <v>7.4</v>
      </c>
      <c r="B211" s="28">
        <v>3.3380000000000001</v>
      </c>
    </row>
    <row r="212" spans="1:2" x14ac:dyDescent="0.3">
      <c r="A212" s="28">
        <v>7.5</v>
      </c>
      <c r="B212" s="28">
        <v>3.3690000000000002</v>
      </c>
    </row>
    <row r="213" spans="1:2" x14ac:dyDescent="0.3">
      <c r="A213" s="28">
        <v>7.6</v>
      </c>
      <c r="B213" s="28">
        <v>3.4</v>
      </c>
    </row>
    <row r="214" spans="1:2" x14ac:dyDescent="0.3">
      <c r="A214" s="28">
        <v>7.7</v>
      </c>
      <c r="B214" s="28">
        <v>3.431</v>
      </c>
    </row>
    <row r="215" spans="1:2" x14ac:dyDescent="0.3">
      <c r="A215" s="28">
        <v>7.8</v>
      </c>
      <c r="B215" s="28">
        <v>3.4620000000000002</v>
      </c>
    </row>
    <row r="216" spans="1:2" x14ac:dyDescent="0.3">
      <c r="A216" s="28">
        <v>7.9</v>
      </c>
      <c r="B216" s="28">
        <v>3.4929999999999999</v>
      </c>
    </row>
    <row r="217" spans="1:2" x14ac:dyDescent="0.3">
      <c r="A217" s="28">
        <v>8</v>
      </c>
      <c r="B217" s="28">
        <v>3.524</v>
      </c>
    </row>
    <row r="218" spans="1:2" x14ac:dyDescent="0.3">
      <c r="A218" s="28">
        <v>8.1</v>
      </c>
      <c r="B218" s="28">
        <v>3.5550000000000002</v>
      </c>
    </row>
    <row r="219" spans="1:2" x14ac:dyDescent="0.3">
      <c r="A219" s="28">
        <v>8.1999999999999993</v>
      </c>
      <c r="B219" s="28">
        <v>3.585</v>
      </c>
    </row>
    <row r="220" spans="1:2" x14ac:dyDescent="0.3">
      <c r="A220" s="28">
        <v>8.3000000000000007</v>
      </c>
      <c r="B220" s="28">
        <v>3.6160000000000001</v>
      </c>
    </row>
    <row r="221" spans="1:2" x14ac:dyDescent="0.3">
      <c r="A221" s="28">
        <v>8.4</v>
      </c>
      <c r="B221" s="28">
        <v>3.6459999999999999</v>
      </c>
    </row>
    <row r="222" spans="1:2" x14ac:dyDescent="0.3">
      <c r="A222" s="28">
        <v>8.5</v>
      </c>
      <c r="B222" s="28">
        <v>3.677</v>
      </c>
    </row>
    <row r="223" spans="1:2" x14ac:dyDescent="0.3">
      <c r="A223" s="28">
        <v>8.6</v>
      </c>
      <c r="B223" s="28">
        <v>3.7069999999999999</v>
      </c>
    </row>
    <row r="224" spans="1:2" x14ac:dyDescent="0.3">
      <c r="A224" s="28">
        <v>8.6999999999999993</v>
      </c>
      <c r="B224" s="28">
        <v>3.738</v>
      </c>
    </row>
    <row r="225" spans="1:2" x14ac:dyDescent="0.3">
      <c r="A225" s="28">
        <v>8.8000000000000007</v>
      </c>
      <c r="B225" s="28">
        <v>3.7679999999999998</v>
      </c>
    </row>
    <row r="226" spans="1:2" x14ac:dyDescent="0.3">
      <c r="A226" s="28">
        <v>8.9</v>
      </c>
      <c r="B226" s="28">
        <v>3.798</v>
      </c>
    </row>
    <row r="227" spans="1:2" x14ac:dyDescent="0.3">
      <c r="A227" s="28">
        <v>9</v>
      </c>
      <c r="B227" s="28">
        <v>3.8279999999999998</v>
      </c>
    </row>
    <row r="228" spans="1:2" x14ac:dyDescent="0.3">
      <c r="A228" s="28">
        <v>9.1</v>
      </c>
      <c r="B228" s="28">
        <v>3.8580000000000001</v>
      </c>
    </row>
    <row r="229" spans="1:2" x14ac:dyDescent="0.3">
      <c r="A229" s="28">
        <v>9.1999999999999993</v>
      </c>
      <c r="B229" s="28">
        <v>3.8879999999999999</v>
      </c>
    </row>
    <row r="230" spans="1:2" x14ac:dyDescent="0.3">
      <c r="A230" s="28">
        <v>9.3000000000000007</v>
      </c>
      <c r="B230" s="28">
        <v>3.9180000000000001</v>
      </c>
    </row>
    <row r="231" spans="1:2" x14ac:dyDescent="0.3">
      <c r="A231" s="28">
        <v>9.4</v>
      </c>
      <c r="B231" s="28">
        <v>3.948</v>
      </c>
    </row>
    <row r="232" spans="1:2" x14ac:dyDescent="0.3">
      <c r="A232" s="28">
        <v>9.5</v>
      </c>
      <c r="B232" s="28">
        <v>3.9780000000000002</v>
      </c>
    </row>
    <row r="233" spans="1:2" x14ac:dyDescent="0.3">
      <c r="A233" s="28">
        <v>9.6</v>
      </c>
      <c r="B233" s="28">
        <v>4.008</v>
      </c>
    </row>
    <row r="234" spans="1:2" x14ac:dyDescent="0.3">
      <c r="A234" s="28">
        <v>9.6999999999999993</v>
      </c>
      <c r="B234" s="28">
        <v>4.0369999999999999</v>
      </c>
    </row>
    <row r="235" spans="1:2" x14ac:dyDescent="0.3">
      <c r="A235" s="28">
        <v>9.8000000000000007</v>
      </c>
      <c r="B235" s="28">
        <v>4.0670000000000002</v>
      </c>
    </row>
    <row r="236" spans="1:2" x14ac:dyDescent="0.3">
      <c r="A236" s="28">
        <v>9.9</v>
      </c>
      <c r="B236" s="28">
        <v>4.0970000000000004</v>
      </c>
    </row>
    <row r="237" spans="1:2" x14ac:dyDescent="0.3">
      <c r="A237" s="28">
        <v>10</v>
      </c>
      <c r="B237" s="28">
        <v>4.1260000000000003</v>
      </c>
    </row>
    <row r="238" spans="1:2" x14ac:dyDescent="0.3">
      <c r="A238" s="28">
        <v>10.199999999999999</v>
      </c>
      <c r="B238" s="28">
        <v>4.1849999999999996</v>
      </c>
    </row>
    <row r="239" spans="1:2" x14ac:dyDescent="0.3">
      <c r="A239" s="28">
        <v>10.4</v>
      </c>
      <c r="B239" s="28">
        <v>4.2439999999999998</v>
      </c>
    </row>
    <row r="240" spans="1:2" x14ac:dyDescent="0.3">
      <c r="A240" s="28">
        <v>10.6</v>
      </c>
      <c r="B240" s="28">
        <v>4.3019999999999996</v>
      </c>
    </row>
    <row r="241" spans="1:2" x14ac:dyDescent="0.3">
      <c r="A241" s="28">
        <v>10.8</v>
      </c>
      <c r="B241" s="28">
        <v>4.3609999999999998</v>
      </c>
    </row>
    <row r="242" spans="1:2" x14ac:dyDescent="0.3">
      <c r="A242" s="28">
        <v>11</v>
      </c>
      <c r="B242" s="28">
        <v>4.4189999999999996</v>
      </c>
    </row>
    <row r="243" spans="1:2" x14ac:dyDescent="0.3">
      <c r="A243" s="28">
        <v>11.2</v>
      </c>
      <c r="B243" s="28">
        <v>4.4770000000000003</v>
      </c>
    </row>
    <row r="244" spans="1:2" x14ac:dyDescent="0.3">
      <c r="A244" s="28">
        <v>11.4</v>
      </c>
      <c r="B244" s="28">
        <v>4.5339999999999998</v>
      </c>
    </row>
    <row r="245" spans="1:2" x14ac:dyDescent="0.3">
      <c r="A245" s="28">
        <v>11.6</v>
      </c>
      <c r="B245" s="28">
        <v>4.5919999999999996</v>
      </c>
    </row>
    <row r="246" spans="1:2" x14ac:dyDescent="0.3">
      <c r="A246" s="28">
        <v>11.8</v>
      </c>
      <c r="B246" s="28">
        <v>4.649</v>
      </c>
    </row>
    <row r="247" spans="1:2" x14ac:dyDescent="0.3">
      <c r="A247" s="28">
        <v>12</v>
      </c>
      <c r="B247" s="28">
        <v>4.7069999999999999</v>
      </c>
    </row>
    <row r="248" spans="1:2" x14ac:dyDescent="0.3">
      <c r="A248" s="28">
        <v>12.2</v>
      </c>
      <c r="B248" s="28">
        <v>4.7640000000000002</v>
      </c>
    </row>
    <row r="249" spans="1:2" x14ac:dyDescent="0.3">
      <c r="A249" s="28">
        <v>12.4</v>
      </c>
      <c r="B249" s="28">
        <v>4.82</v>
      </c>
    </row>
    <row r="250" spans="1:2" x14ac:dyDescent="0.3">
      <c r="A250" s="28">
        <v>12.6</v>
      </c>
      <c r="B250" s="28">
        <v>4.8769999999999998</v>
      </c>
    </row>
    <row r="251" spans="1:2" x14ac:dyDescent="0.3">
      <c r="A251" s="28">
        <v>12.8</v>
      </c>
      <c r="B251" s="28">
        <v>4.9340000000000002</v>
      </c>
    </row>
    <row r="252" spans="1:2" x14ac:dyDescent="0.3">
      <c r="A252" s="28">
        <v>13</v>
      </c>
      <c r="B252" s="28">
        <v>4.99</v>
      </c>
    </row>
    <row r="253" spans="1:2" x14ac:dyDescent="0.3">
      <c r="A253" s="28">
        <v>13.2</v>
      </c>
      <c r="B253" s="28">
        <v>5.0469999999999997</v>
      </c>
    </row>
    <row r="254" spans="1:2" x14ac:dyDescent="0.3">
      <c r="A254" s="28">
        <v>13.4</v>
      </c>
      <c r="B254" s="28">
        <v>5.1029999999999998</v>
      </c>
    </row>
    <row r="255" spans="1:2" x14ac:dyDescent="0.3">
      <c r="A255" s="28">
        <v>13.6</v>
      </c>
      <c r="B255" s="28">
        <v>5.1589999999999998</v>
      </c>
    </row>
    <row r="256" spans="1:2" x14ac:dyDescent="0.3">
      <c r="A256" s="28">
        <v>13.8</v>
      </c>
      <c r="B256" s="28">
        <v>5.2149999999999999</v>
      </c>
    </row>
    <row r="257" spans="1:2" x14ac:dyDescent="0.3">
      <c r="A257" s="28">
        <v>14</v>
      </c>
      <c r="B257" s="28">
        <v>5.27</v>
      </c>
    </row>
    <row r="258" spans="1:2" x14ac:dyDescent="0.3">
      <c r="A258" s="28">
        <v>14.2</v>
      </c>
      <c r="B258" s="28">
        <v>5.3259999999999996</v>
      </c>
    </row>
    <row r="259" spans="1:2" x14ac:dyDescent="0.3">
      <c r="A259" s="28">
        <v>14.4</v>
      </c>
      <c r="B259" s="28">
        <v>5.3819999999999997</v>
      </c>
    </row>
    <row r="260" spans="1:2" x14ac:dyDescent="0.3">
      <c r="A260" s="28">
        <v>14.6</v>
      </c>
      <c r="B260" s="28">
        <v>5.4370000000000003</v>
      </c>
    </row>
    <row r="261" spans="1:2" x14ac:dyDescent="0.3">
      <c r="A261" s="28">
        <v>14.8</v>
      </c>
      <c r="B261" s="28">
        <v>5.492</v>
      </c>
    </row>
    <row r="262" spans="1:2" x14ac:dyDescent="0.3">
      <c r="A262" s="28">
        <v>15</v>
      </c>
      <c r="B262" s="28">
        <v>5.5469999999999997</v>
      </c>
    </row>
    <row r="263" spans="1:2" x14ac:dyDescent="0.3">
      <c r="A263" s="28">
        <v>15.2</v>
      </c>
      <c r="B263" s="28">
        <v>5.6020000000000003</v>
      </c>
    </row>
    <row r="264" spans="1:2" x14ac:dyDescent="0.3">
      <c r="A264" s="28">
        <v>15.4</v>
      </c>
      <c r="B264" s="28">
        <v>5.657</v>
      </c>
    </row>
    <row r="265" spans="1:2" x14ac:dyDescent="0.3">
      <c r="A265" s="28">
        <v>15.6</v>
      </c>
      <c r="B265" s="28">
        <v>5.7119999999999997</v>
      </c>
    </row>
    <row r="266" spans="1:2" x14ac:dyDescent="0.3">
      <c r="A266" s="28">
        <v>15.8</v>
      </c>
      <c r="B266" s="28">
        <v>5.7670000000000003</v>
      </c>
    </row>
    <row r="267" spans="1:2" x14ac:dyDescent="0.3">
      <c r="A267" s="28">
        <v>16</v>
      </c>
      <c r="B267" s="28">
        <v>5.8209999999999997</v>
      </c>
    </row>
    <row r="268" spans="1:2" x14ac:dyDescent="0.3">
      <c r="A268" s="28">
        <v>16.2</v>
      </c>
      <c r="B268" s="28">
        <v>5.8760000000000003</v>
      </c>
    </row>
    <row r="269" spans="1:2" x14ac:dyDescent="0.3">
      <c r="A269" s="28">
        <v>16.399999999999999</v>
      </c>
      <c r="B269" s="28">
        <v>5.93</v>
      </c>
    </row>
    <row r="270" spans="1:2" x14ac:dyDescent="0.3">
      <c r="A270" s="28">
        <v>16.600000000000001</v>
      </c>
      <c r="B270" s="28">
        <v>5.984</v>
      </c>
    </row>
    <row r="271" spans="1:2" x14ac:dyDescent="0.3">
      <c r="A271" s="28">
        <v>16.8</v>
      </c>
      <c r="B271" s="28">
        <v>6.0389999999999997</v>
      </c>
    </row>
    <row r="272" spans="1:2" x14ac:dyDescent="0.3">
      <c r="A272" s="28">
        <v>17</v>
      </c>
      <c r="B272" s="28">
        <v>6.093</v>
      </c>
    </row>
    <row r="273" spans="1:2" x14ac:dyDescent="0.3">
      <c r="A273" s="28">
        <v>17.2</v>
      </c>
      <c r="B273" s="28">
        <v>6.1470000000000002</v>
      </c>
    </row>
    <row r="274" spans="1:2" x14ac:dyDescent="0.3">
      <c r="A274" s="28">
        <v>17.399999999999999</v>
      </c>
      <c r="B274" s="28">
        <v>6.2009999999999996</v>
      </c>
    </row>
    <row r="275" spans="1:2" x14ac:dyDescent="0.3">
      <c r="A275" s="28">
        <v>17.600000000000001</v>
      </c>
      <c r="B275" s="28">
        <v>6.2539999999999996</v>
      </c>
    </row>
    <row r="276" spans="1:2" x14ac:dyDescent="0.3">
      <c r="A276" s="28">
        <v>17.8</v>
      </c>
      <c r="B276" s="28">
        <v>6.3079999999999998</v>
      </c>
    </row>
    <row r="277" spans="1:2" x14ac:dyDescent="0.3">
      <c r="A277" s="28">
        <v>18</v>
      </c>
      <c r="B277" s="28">
        <v>6.3620000000000001</v>
      </c>
    </row>
    <row r="278" spans="1:2" x14ac:dyDescent="0.3">
      <c r="A278" s="28">
        <v>18.2</v>
      </c>
      <c r="B278" s="28">
        <v>6.415</v>
      </c>
    </row>
    <row r="279" spans="1:2" x14ac:dyDescent="0.3">
      <c r="A279" s="28">
        <v>18.399999999999999</v>
      </c>
      <c r="B279" s="28">
        <v>6.4690000000000003</v>
      </c>
    </row>
    <row r="280" spans="1:2" x14ac:dyDescent="0.3">
      <c r="A280" s="28">
        <v>18.600000000000001</v>
      </c>
      <c r="B280" s="28">
        <v>6.5220000000000002</v>
      </c>
    </row>
    <row r="281" spans="1:2" x14ac:dyDescent="0.3">
      <c r="A281" s="28">
        <v>18.8</v>
      </c>
      <c r="B281" s="28">
        <v>6.5750000000000002</v>
      </c>
    </row>
    <row r="282" spans="1:2" x14ac:dyDescent="0.3">
      <c r="A282" s="28">
        <v>19</v>
      </c>
      <c r="B282" s="28">
        <v>6.6289999999999996</v>
      </c>
    </row>
    <row r="283" spans="1:2" x14ac:dyDescent="0.3">
      <c r="A283" s="28">
        <v>19.2</v>
      </c>
      <c r="B283" s="28">
        <v>6.6820000000000004</v>
      </c>
    </row>
    <row r="284" spans="1:2" x14ac:dyDescent="0.3">
      <c r="A284" s="28">
        <v>19.399999999999999</v>
      </c>
      <c r="B284" s="28">
        <v>6.734</v>
      </c>
    </row>
    <row r="285" spans="1:2" x14ac:dyDescent="0.3">
      <c r="A285" s="28">
        <v>19.600000000000001</v>
      </c>
      <c r="B285" s="28">
        <v>6.7880000000000003</v>
      </c>
    </row>
    <row r="286" spans="1:2" x14ac:dyDescent="0.3">
      <c r="A286" s="28">
        <v>19.8</v>
      </c>
      <c r="B286" s="28">
        <v>6.84</v>
      </c>
    </row>
    <row r="287" spans="1:2" x14ac:dyDescent="0.3">
      <c r="A287" s="28">
        <v>20</v>
      </c>
      <c r="B287" s="28">
        <v>6.8929999999999998</v>
      </c>
    </row>
    <row r="288" spans="1:2" x14ac:dyDescent="0.3">
      <c r="A288" s="28">
        <v>21</v>
      </c>
      <c r="B288" s="28">
        <v>7.1559999999999997</v>
      </c>
    </row>
    <row r="289" spans="1:2" x14ac:dyDescent="0.3">
      <c r="A289" s="28">
        <v>21.5</v>
      </c>
      <c r="B289" s="28">
        <v>7.2869999999999999</v>
      </c>
    </row>
    <row r="290" spans="1:2" x14ac:dyDescent="0.3">
      <c r="A290" s="28">
        <v>22</v>
      </c>
      <c r="B290" s="28">
        <v>7.4169999999999998</v>
      </c>
    </row>
    <row r="291" spans="1:2" x14ac:dyDescent="0.3">
      <c r="A291" s="28">
        <v>22.5</v>
      </c>
      <c r="B291" s="28">
        <v>7.5469999999999997</v>
      </c>
    </row>
    <row r="292" spans="1:2" x14ac:dyDescent="0.3">
      <c r="A292" s="28">
        <v>23</v>
      </c>
      <c r="B292" s="28">
        <v>7.6769999999999996</v>
      </c>
    </row>
    <row r="293" spans="1:2" x14ac:dyDescent="0.3">
      <c r="A293" s="28">
        <v>23.5</v>
      </c>
      <c r="B293" s="28">
        <v>7.806</v>
      </c>
    </row>
    <row r="294" spans="1:2" x14ac:dyDescent="0.3">
      <c r="A294" s="28">
        <v>24</v>
      </c>
      <c r="B294" s="28">
        <v>7.9349999999999996</v>
      </c>
    </row>
    <row r="295" spans="1:2" x14ac:dyDescent="0.3">
      <c r="A295" s="28">
        <v>24.5</v>
      </c>
      <c r="B295" s="28">
        <v>8.0640000000000001</v>
      </c>
    </row>
    <row r="296" spans="1:2" x14ac:dyDescent="0.3">
      <c r="A296" s="28">
        <v>25</v>
      </c>
      <c r="B296" s="28">
        <v>8.1920000000000002</v>
      </c>
    </row>
    <row r="297" spans="1:2" x14ac:dyDescent="0.3">
      <c r="A297" s="28">
        <v>25.5</v>
      </c>
      <c r="B297" s="28">
        <v>8.32</v>
      </c>
    </row>
    <row r="298" spans="1:2" x14ac:dyDescent="0.3">
      <c r="A298" s="28">
        <v>26</v>
      </c>
      <c r="B298" s="28">
        <v>8.4469999999999992</v>
      </c>
    </row>
    <row r="299" spans="1:2" x14ac:dyDescent="0.3">
      <c r="A299" s="28">
        <v>26.5</v>
      </c>
      <c r="B299" s="28">
        <v>8.5749999999999993</v>
      </c>
    </row>
    <row r="300" spans="1:2" x14ac:dyDescent="0.3">
      <c r="A300" s="28">
        <v>27</v>
      </c>
      <c r="B300" s="28">
        <v>8.7010000000000005</v>
      </c>
    </row>
    <row r="301" spans="1:2" x14ac:dyDescent="0.3">
      <c r="A301" s="28">
        <v>27.5</v>
      </c>
      <c r="B301" s="28">
        <v>8.8279999999999994</v>
      </c>
    </row>
    <row r="302" spans="1:2" x14ac:dyDescent="0.3">
      <c r="A302" s="28">
        <v>28</v>
      </c>
      <c r="B302" s="28">
        <v>8.9550000000000001</v>
      </c>
    </row>
    <row r="303" spans="1:2" x14ac:dyDescent="0.3">
      <c r="A303" s="28">
        <v>28.5</v>
      </c>
      <c r="B303" s="28">
        <v>9.0809999999999995</v>
      </c>
    </row>
    <row r="304" spans="1:2" x14ac:dyDescent="0.3">
      <c r="A304" s="28">
        <v>29</v>
      </c>
      <c r="B304" s="28">
        <v>9.2070000000000007</v>
      </c>
    </row>
    <row r="305" spans="1:2" x14ac:dyDescent="0.3">
      <c r="A305" s="28">
        <v>29.5</v>
      </c>
      <c r="B305" s="28">
        <v>9.3320000000000007</v>
      </c>
    </row>
    <row r="306" spans="1:2" x14ac:dyDescent="0.3">
      <c r="A306" s="28">
        <v>30</v>
      </c>
      <c r="B306" s="28">
        <v>9.4570000000000007</v>
      </c>
    </row>
    <row r="307" spans="1:2" x14ac:dyDescent="0.3">
      <c r="A307" s="28">
        <v>30.5</v>
      </c>
      <c r="B307" s="28">
        <v>9.5830000000000002</v>
      </c>
    </row>
    <row r="308" spans="1:2" x14ac:dyDescent="0.3">
      <c r="A308" s="28">
        <v>31</v>
      </c>
      <c r="B308" s="28">
        <v>9.7070000000000007</v>
      </c>
    </row>
    <row r="309" spans="1:2" x14ac:dyDescent="0.3">
      <c r="A309" s="28">
        <v>31.5</v>
      </c>
      <c r="B309" s="28">
        <v>9.8320000000000007</v>
      </c>
    </row>
    <row r="310" spans="1:2" x14ac:dyDescent="0.3">
      <c r="A310" s="28">
        <v>32</v>
      </c>
      <c r="B310" s="28">
        <v>9.9570000000000007</v>
      </c>
    </row>
    <row r="311" spans="1:2" x14ac:dyDescent="0.3">
      <c r="A311" s="28">
        <v>32.5</v>
      </c>
      <c r="B311" s="28">
        <v>10.08</v>
      </c>
    </row>
    <row r="312" spans="1:2" x14ac:dyDescent="0.3">
      <c r="A312" s="28">
        <v>33</v>
      </c>
      <c r="B312" s="28">
        <v>10.199999999999999</v>
      </c>
    </row>
    <row r="313" spans="1:2" x14ac:dyDescent="0.3">
      <c r="A313" s="28">
        <v>33.5</v>
      </c>
      <c r="B313" s="28">
        <v>10.33</v>
      </c>
    </row>
    <row r="314" spans="1:2" x14ac:dyDescent="0.3">
      <c r="A314" s="28">
        <v>34</v>
      </c>
      <c r="B314" s="28">
        <v>10.45</v>
      </c>
    </row>
    <row r="315" spans="1:2" x14ac:dyDescent="0.3">
      <c r="A315" s="28">
        <v>34.5</v>
      </c>
      <c r="B315" s="28">
        <v>10.58</v>
      </c>
    </row>
    <row r="316" spans="1:2" x14ac:dyDescent="0.3">
      <c r="A316" s="28">
        <v>35</v>
      </c>
      <c r="B316" s="28">
        <v>10.7</v>
      </c>
    </row>
    <row r="317" spans="1:2" x14ac:dyDescent="0.3">
      <c r="A317" s="28">
        <v>35.5</v>
      </c>
      <c r="B317" s="28">
        <v>10.82</v>
      </c>
    </row>
    <row r="318" spans="1:2" x14ac:dyDescent="0.3">
      <c r="A318" s="28">
        <v>36</v>
      </c>
      <c r="B318" s="28">
        <v>10.94</v>
      </c>
    </row>
    <row r="319" spans="1:2" x14ac:dyDescent="0.3">
      <c r="A319" s="28">
        <v>36.5</v>
      </c>
      <c r="B319" s="28">
        <v>11.07</v>
      </c>
    </row>
    <row r="320" spans="1:2" x14ac:dyDescent="0.3">
      <c r="A320" s="28">
        <v>37.5</v>
      </c>
      <c r="B320" s="28">
        <v>11.31</v>
      </c>
    </row>
    <row r="321" spans="1:2" x14ac:dyDescent="0.3">
      <c r="A321" s="28">
        <v>38</v>
      </c>
      <c r="B321" s="28">
        <v>11.43</v>
      </c>
    </row>
    <row r="322" spans="1:2" x14ac:dyDescent="0.3">
      <c r="A322" s="28">
        <v>38.5</v>
      </c>
      <c r="B322" s="28">
        <v>11.56</v>
      </c>
    </row>
    <row r="323" spans="1:2" x14ac:dyDescent="0.3">
      <c r="A323" s="28">
        <v>39</v>
      </c>
      <c r="B323" s="28">
        <v>11.68</v>
      </c>
    </row>
    <row r="324" spans="1:2" x14ac:dyDescent="0.3">
      <c r="A324" s="28">
        <v>39.5</v>
      </c>
      <c r="B324" s="28">
        <v>11.8</v>
      </c>
    </row>
    <row r="325" spans="1:2" x14ac:dyDescent="0.3">
      <c r="A325" s="28">
        <v>40</v>
      </c>
      <c r="B325" s="28">
        <v>11.92</v>
      </c>
    </row>
    <row r="326" spans="1:2" x14ac:dyDescent="0.3">
      <c r="A326" s="28">
        <v>40.5</v>
      </c>
      <c r="B326" s="28">
        <v>12.04</v>
      </c>
    </row>
    <row r="327" spans="1:2" x14ac:dyDescent="0.3">
      <c r="A327" s="28">
        <v>41</v>
      </c>
      <c r="B327" s="28">
        <v>12.16</v>
      </c>
    </row>
    <row r="328" spans="1:2" x14ac:dyDescent="0.3">
      <c r="A328" s="28">
        <v>41.5</v>
      </c>
      <c r="B328" s="28">
        <v>12.28</v>
      </c>
    </row>
    <row r="329" spans="1:2" x14ac:dyDescent="0.3">
      <c r="A329" s="28">
        <v>42</v>
      </c>
      <c r="B329" s="28">
        <v>12.41</v>
      </c>
    </row>
    <row r="330" spans="1:2" x14ac:dyDescent="0.3">
      <c r="A330" s="28">
        <v>42.5</v>
      </c>
      <c r="B330" s="28">
        <v>12.53</v>
      </c>
    </row>
    <row r="331" spans="1:2" x14ac:dyDescent="0.3">
      <c r="A331" s="28">
        <v>43</v>
      </c>
      <c r="B331" s="28">
        <v>12.65</v>
      </c>
    </row>
    <row r="332" spans="1:2" x14ac:dyDescent="0.3">
      <c r="A332" s="28">
        <v>43.5</v>
      </c>
      <c r="B332" s="28">
        <v>12.77</v>
      </c>
    </row>
    <row r="333" spans="1:2" x14ac:dyDescent="0.3">
      <c r="A333" s="28">
        <v>44</v>
      </c>
      <c r="B333" s="28">
        <v>12.89</v>
      </c>
    </row>
    <row r="334" spans="1:2" x14ac:dyDescent="0.3">
      <c r="A334" s="28">
        <v>44.5</v>
      </c>
      <c r="B334" s="28">
        <v>13.01</v>
      </c>
    </row>
    <row r="335" spans="1:2" x14ac:dyDescent="0.3">
      <c r="A335" s="28">
        <v>45</v>
      </c>
      <c r="B335" s="28">
        <v>13.13</v>
      </c>
    </row>
    <row r="336" spans="1:2" x14ac:dyDescent="0.3">
      <c r="A336" s="28">
        <v>45.5</v>
      </c>
      <c r="B336" s="28">
        <v>13.25</v>
      </c>
    </row>
    <row r="337" spans="1:2" x14ac:dyDescent="0.3">
      <c r="A337" s="28">
        <v>46</v>
      </c>
      <c r="B337" s="28">
        <v>13.37</v>
      </c>
    </row>
    <row r="338" spans="1:2" x14ac:dyDescent="0.3">
      <c r="A338" s="28">
        <v>46.5</v>
      </c>
      <c r="B338" s="28">
        <v>13.49</v>
      </c>
    </row>
    <row r="339" spans="1:2" x14ac:dyDescent="0.3">
      <c r="A339" s="28">
        <v>47</v>
      </c>
      <c r="B339" s="28">
        <v>13.61</v>
      </c>
    </row>
    <row r="340" spans="1:2" x14ac:dyDescent="0.3">
      <c r="A340" s="28">
        <v>47.5</v>
      </c>
      <c r="B340" s="28">
        <v>13.73</v>
      </c>
    </row>
    <row r="341" spans="1:2" x14ac:dyDescent="0.3">
      <c r="A341" s="28">
        <v>48</v>
      </c>
      <c r="B341" s="28">
        <v>13.85</v>
      </c>
    </row>
    <row r="342" spans="1:2" x14ac:dyDescent="0.3">
      <c r="A342" s="28">
        <v>48.5</v>
      </c>
      <c r="B342" s="28">
        <v>13.97</v>
      </c>
    </row>
    <row r="343" spans="1:2" x14ac:dyDescent="0.3">
      <c r="A343" s="28">
        <v>49</v>
      </c>
      <c r="B343" s="28">
        <v>14.09</v>
      </c>
    </row>
    <row r="344" spans="1:2" x14ac:dyDescent="0.3">
      <c r="A344" s="28">
        <v>49.5</v>
      </c>
      <c r="B344" s="28">
        <v>14.2</v>
      </c>
    </row>
    <row r="345" spans="1:2" x14ac:dyDescent="0.3">
      <c r="A345" s="28">
        <v>50</v>
      </c>
      <c r="B345" s="28">
        <v>14.32</v>
      </c>
    </row>
    <row r="346" spans="1:2" x14ac:dyDescent="0.3">
      <c r="A346" s="28">
        <v>51</v>
      </c>
      <c r="B346" s="28">
        <v>14.56</v>
      </c>
    </row>
    <row r="347" spans="1:2" x14ac:dyDescent="0.3">
      <c r="A347" s="28">
        <v>52</v>
      </c>
      <c r="B347" s="28">
        <v>14.8</v>
      </c>
    </row>
    <row r="348" spans="1:2" x14ac:dyDescent="0.3">
      <c r="A348" s="28">
        <v>53</v>
      </c>
      <c r="B348" s="28">
        <v>15.04</v>
      </c>
    </row>
    <row r="349" spans="1:2" x14ac:dyDescent="0.3">
      <c r="A349" s="28">
        <v>54</v>
      </c>
      <c r="B349" s="28">
        <v>15.27</v>
      </c>
    </row>
    <row r="350" spans="1:2" x14ac:dyDescent="0.3">
      <c r="A350" s="28">
        <v>55</v>
      </c>
      <c r="B350" s="28">
        <v>15.51</v>
      </c>
    </row>
    <row r="351" spans="1:2" x14ac:dyDescent="0.3">
      <c r="A351" s="28">
        <v>56</v>
      </c>
      <c r="B351" s="28">
        <v>15.74</v>
      </c>
    </row>
    <row r="352" spans="1:2" x14ac:dyDescent="0.3">
      <c r="A352" s="28">
        <v>57</v>
      </c>
      <c r="B352" s="28">
        <v>15.98</v>
      </c>
    </row>
    <row r="353" spans="1:2" x14ac:dyDescent="0.3">
      <c r="A353" s="28">
        <v>58</v>
      </c>
      <c r="B353" s="28">
        <v>16.22</v>
      </c>
    </row>
    <row r="354" spans="1:2" x14ac:dyDescent="0.3">
      <c r="A354" s="28">
        <v>59</v>
      </c>
      <c r="B354" s="28">
        <v>16.45</v>
      </c>
    </row>
    <row r="355" spans="1:2" x14ac:dyDescent="0.3">
      <c r="A355" s="28">
        <v>60</v>
      </c>
      <c r="B355" s="28">
        <v>16.690000000000001</v>
      </c>
    </row>
    <row r="356" spans="1:2" x14ac:dyDescent="0.3">
      <c r="A356" s="28">
        <v>61</v>
      </c>
      <c r="B356" s="28">
        <v>16.920000000000002</v>
      </c>
    </row>
    <row r="357" spans="1:2" x14ac:dyDescent="0.3">
      <c r="A357" s="28">
        <v>62</v>
      </c>
      <c r="B357" s="28">
        <v>17.149999999999999</v>
      </c>
    </row>
    <row r="358" spans="1:2" x14ac:dyDescent="0.3">
      <c r="A358" s="28">
        <v>63</v>
      </c>
      <c r="B358" s="28">
        <v>17.39</v>
      </c>
    </row>
    <row r="359" spans="1:2" x14ac:dyDescent="0.3">
      <c r="A359" s="28">
        <v>64</v>
      </c>
      <c r="B359" s="28">
        <v>17.62</v>
      </c>
    </row>
    <row r="360" spans="1:2" x14ac:dyDescent="0.3">
      <c r="A360" s="28">
        <v>65</v>
      </c>
      <c r="B360" s="28">
        <v>17.850000000000001</v>
      </c>
    </row>
    <row r="361" spans="1:2" x14ac:dyDescent="0.3">
      <c r="A361" s="28">
        <v>66</v>
      </c>
      <c r="B361" s="28">
        <v>18.09</v>
      </c>
    </row>
    <row r="362" spans="1:2" x14ac:dyDescent="0.3">
      <c r="A362" s="28">
        <v>67</v>
      </c>
      <c r="B362" s="28">
        <v>18.32</v>
      </c>
    </row>
    <row r="363" spans="1:2" x14ac:dyDescent="0.3">
      <c r="A363" s="28">
        <v>68</v>
      </c>
      <c r="B363" s="28">
        <v>18.55</v>
      </c>
    </row>
    <row r="364" spans="1:2" x14ac:dyDescent="0.3">
      <c r="A364" s="28">
        <v>69</v>
      </c>
      <c r="B364" s="28">
        <v>18.79</v>
      </c>
    </row>
    <row r="365" spans="1:2" x14ac:dyDescent="0.3">
      <c r="A365" s="28">
        <v>70</v>
      </c>
      <c r="B365" s="28">
        <v>19.02</v>
      </c>
    </row>
    <row r="366" spans="1:2" x14ac:dyDescent="0.3">
      <c r="A366" s="28">
        <v>71</v>
      </c>
      <c r="B366" s="28">
        <v>19.25</v>
      </c>
    </row>
    <row r="367" spans="1:2" x14ac:dyDescent="0.3">
      <c r="A367" s="28">
        <v>72</v>
      </c>
      <c r="B367" s="28">
        <v>19.48</v>
      </c>
    </row>
    <row r="368" spans="1:2" x14ac:dyDescent="0.3">
      <c r="A368" s="28">
        <v>73</v>
      </c>
      <c r="B368" s="28">
        <v>19.71</v>
      </c>
    </row>
    <row r="369" spans="1:2" x14ac:dyDescent="0.3">
      <c r="A369" s="28">
        <v>74</v>
      </c>
      <c r="B369" s="28">
        <v>19.940000000000001</v>
      </c>
    </row>
    <row r="370" spans="1:2" x14ac:dyDescent="0.3">
      <c r="A370" s="28">
        <v>75</v>
      </c>
      <c r="B370" s="28">
        <v>20.18</v>
      </c>
    </row>
    <row r="371" spans="1:2" x14ac:dyDescent="0.3">
      <c r="A371" s="28">
        <v>76</v>
      </c>
      <c r="B371" s="28">
        <v>20.41</v>
      </c>
    </row>
    <row r="372" spans="1:2" x14ac:dyDescent="0.3">
      <c r="A372" s="28">
        <v>77</v>
      </c>
      <c r="B372" s="28">
        <v>20.64</v>
      </c>
    </row>
    <row r="373" spans="1:2" x14ac:dyDescent="0.3">
      <c r="A373" s="28">
        <v>78</v>
      </c>
      <c r="B373" s="28">
        <v>20.87</v>
      </c>
    </row>
    <row r="374" spans="1:2" x14ac:dyDescent="0.3">
      <c r="A374" s="28">
        <v>79</v>
      </c>
      <c r="B374" s="28">
        <v>21.1</v>
      </c>
    </row>
    <row r="375" spans="1:2" x14ac:dyDescent="0.3">
      <c r="A375" s="28">
        <v>80</v>
      </c>
      <c r="B375" s="28">
        <v>21.33</v>
      </c>
    </row>
    <row r="376" spans="1:2" x14ac:dyDescent="0.3">
      <c r="A376" s="28">
        <v>81</v>
      </c>
      <c r="B376" s="28">
        <v>21.56</v>
      </c>
    </row>
    <row r="377" spans="1:2" x14ac:dyDescent="0.3">
      <c r="A377" s="28">
        <v>82</v>
      </c>
      <c r="B377" s="28">
        <v>21.69</v>
      </c>
    </row>
    <row r="378" spans="1:2" x14ac:dyDescent="0.3">
      <c r="A378" s="28">
        <v>83</v>
      </c>
      <c r="B378" s="28">
        <v>22.02</v>
      </c>
    </row>
    <row r="379" spans="1:2" x14ac:dyDescent="0.3">
      <c r="A379" s="28">
        <v>85</v>
      </c>
      <c r="B379" s="28">
        <v>22.48</v>
      </c>
    </row>
    <row r="380" spans="1:2" x14ac:dyDescent="0.3">
      <c r="A380" s="28">
        <v>86</v>
      </c>
      <c r="B380" s="28">
        <v>22.71</v>
      </c>
    </row>
    <row r="381" spans="1:2" x14ac:dyDescent="0.3">
      <c r="A381" s="28">
        <v>87</v>
      </c>
      <c r="B381" s="28">
        <v>22.94</v>
      </c>
    </row>
    <row r="382" spans="1:2" x14ac:dyDescent="0.3">
      <c r="A382" s="28">
        <v>88</v>
      </c>
      <c r="B382" s="28">
        <v>23.17</v>
      </c>
    </row>
    <row r="383" spans="1:2" x14ac:dyDescent="0.3">
      <c r="A383" s="28">
        <v>89</v>
      </c>
      <c r="B383" s="28">
        <v>23.39</v>
      </c>
    </row>
    <row r="384" spans="1:2" x14ac:dyDescent="0.3">
      <c r="A384" s="28">
        <v>90</v>
      </c>
      <c r="B384" s="28">
        <v>23.62</v>
      </c>
    </row>
    <row r="385" spans="1:2" x14ac:dyDescent="0.3">
      <c r="A385" s="28">
        <v>91</v>
      </c>
      <c r="B385" s="28">
        <v>23.85</v>
      </c>
    </row>
    <row r="386" spans="1:2" x14ac:dyDescent="0.3">
      <c r="A386" s="28">
        <v>92</v>
      </c>
      <c r="B386" s="28">
        <v>24.08</v>
      </c>
    </row>
    <row r="387" spans="1:2" x14ac:dyDescent="0.3">
      <c r="A387" s="28">
        <v>93</v>
      </c>
      <c r="B387" s="28">
        <v>24.31</v>
      </c>
    </row>
    <row r="388" spans="1:2" x14ac:dyDescent="0.3">
      <c r="A388" s="28">
        <v>94</v>
      </c>
      <c r="B388" s="28">
        <v>24.54</v>
      </c>
    </row>
    <row r="389" spans="1:2" x14ac:dyDescent="0.3">
      <c r="A389" s="28">
        <v>95</v>
      </c>
      <c r="B389" s="28">
        <v>24.77</v>
      </c>
    </row>
    <row r="390" spans="1:2" x14ac:dyDescent="0.3">
      <c r="A390" s="28">
        <v>96</v>
      </c>
      <c r="B390" s="28">
        <v>24.99</v>
      </c>
    </row>
    <row r="391" spans="1:2" x14ac:dyDescent="0.3">
      <c r="A391" s="28">
        <v>97</v>
      </c>
      <c r="B391" s="28">
        <v>25.22</v>
      </c>
    </row>
    <row r="392" spans="1:2" x14ac:dyDescent="0.3">
      <c r="A392" s="28">
        <v>98</v>
      </c>
      <c r="B392" s="28">
        <v>25.45</v>
      </c>
    </row>
    <row r="393" spans="1:2" x14ac:dyDescent="0.3">
      <c r="A393" s="28">
        <v>99</v>
      </c>
      <c r="B393" s="28">
        <v>25.68</v>
      </c>
    </row>
    <row r="394" spans="1:2" x14ac:dyDescent="0.3">
      <c r="A394" s="28">
        <v>100</v>
      </c>
      <c r="B394" s="28">
        <v>25.91</v>
      </c>
    </row>
    <row r="395" spans="1:2" x14ac:dyDescent="0.3">
      <c r="A395" s="28">
        <v>102</v>
      </c>
      <c r="B395" s="28">
        <v>26.36</v>
      </c>
    </row>
    <row r="396" spans="1:2" x14ac:dyDescent="0.3">
      <c r="A396" s="28">
        <v>104</v>
      </c>
      <c r="B396" s="28">
        <v>26.82</v>
      </c>
    </row>
    <row r="397" spans="1:2" x14ac:dyDescent="0.3">
      <c r="A397" s="28">
        <v>106</v>
      </c>
      <c r="B397" s="28">
        <v>27.27</v>
      </c>
    </row>
    <row r="398" spans="1:2" x14ac:dyDescent="0.3">
      <c r="A398" s="28">
        <v>108</v>
      </c>
      <c r="B398" s="28">
        <v>27.72</v>
      </c>
    </row>
    <row r="399" spans="1:2" x14ac:dyDescent="0.3">
      <c r="A399" s="28">
        <v>110</v>
      </c>
      <c r="B399" s="28">
        <v>28.18</v>
      </c>
    </row>
    <row r="400" spans="1:2" x14ac:dyDescent="0.3">
      <c r="A400" s="28">
        <v>112</v>
      </c>
      <c r="B400" s="28">
        <v>28.63</v>
      </c>
    </row>
    <row r="401" spans="1:2" x14ac:dyDescent="0.3">
      <c r="A401" s="28">
        <v>114</v>
      </c>
      <c r="B401" s="28">
        <v>29.09</v>
      </c>
    </row>
    <row r="402" spans="1:2" x14ac:dyDescent="0.3">
      <c r="A402" s="28">
        <v>116</v>
      </c>
      <c r="B402" s="28">
        <v>29.54</v>
      </c>
    </row>
    <row r="403" spans="1:2" x14ac:dyDescent="0.3">
      <c r="A403" s="28">
        <v>118</v>
      </c>
      <c r="B403" s="28">
        <v>29.89</v>
      </c>
    </row>
    <row r="404" spans="1:2" x14ac:dyDescent="0.3">
      <c r="A404" s="28">
        <v>120</v>
      </c>
      <c r="B404" s="28">
        <v>30.44</v>
      </c>
    </row>
    <row r="405" spans="1:2" x14ac:dyDescent="0.3">
      <c r="A405" s="28">
        <v>122</v>
      </c>
      <c r="B405" s="28">
        <v>30.9</v>
      </c>
    </row>
    <row r="406" spans="1:2" x14ac:dyDescent="0.3">
      <c r="A406" s="28">
        <v>124</v>
      </c>
      <c r="B406" s="28">
        <v>31.35</v>
      </c>
    </row>
    <row r="407" spans="1:2" x14ac:dyDescent="0.3">
      <c r="A407" s="28">
        <v>126</v>
      </c>
      <c r="B407" s="28">
        <v>31.8</v>
      </c>
    </row>
    <row r="408" spans="1:2" x14ac:dyDescent="0.3">
      <c r="A408" s="28">
        <v>128</v>
      </c>
      <c r="B408" s="28">
        <v>32.25</v>
      </c>
    </row>
    <row r="409" spans="1:2" x14ac:dyDescent="0.3">
      <c r="A409" s="28">
        <v>130</v>
      </c>
      <c r="B409" s="28">
        <v>32.700000000000003</v>
      </c>
    </row>
    <row r="410" spans="1:2" x14ac:dyDescent="0.3">
      <c r="A410" s="28">
        <v>132</v>
      </c>
      <c r="B410" s="28">
        <v>33.15</v>
      </c>
    </row>
    <row r="411" spans="1:2" x14ac:dyDescent="0.3">
      <c r="A411" s="28">
        <v>134</v>
      </c>
      <c r="B411" s="28">
        <v>33.6</v>
      </c>
    </row>
    <row r="412" spans="1:2" x14ac:dyDescent="0.3">
      <c r="A412" s="28">
        <v>136</v>
      </c>
      <c r="B412" s="28">
        <v>34.06</v>
      </c>
    </row>
    <row r="413" spans="1:2" x14ac:dyDescent="0.3">
      <c r="A413" s="28">
        <v>138</v>
      </c>
      <c r="B413" s="28">
        <v>34.51</v>
      </c>
    </row>
    <row r="414" spans="1:2" x14ac:dyDescent="0.3">
      <c r="A414" s="28">
        <v>140</v>
      </c>
      <c r="B414" s="28">
        <v>34.96</v>
      </c>
    </row>
    <row r="415" spans="1:2" x14ac:dyDescent="0.3">
      <c r="A415" s="28">
        <v>142</v>
      </c>
      <c r="B415" s="28">
        <v>35.409999999999997</v>
      </c>
    </row>
    <row r="416" spans="1:2" x14ac:dyDescent="0.3">
      <c r="A416" s="28">
        <v>144</v>
      </c>
      <c r="B416" s="28">
        <v>35.86</v>
      </c>
    </row>
    <row r="417" spans="1:2" x14ac:dyDescent="0.3">
      <c r="A417" s="28">
        <v>146</v>
      </c>
      <c r="B417" s="28">
        <v>36.31</v>
      </c>
    </row>
    <row r="418" spans="1:2" x14ac:dyDescent="0.3">
      <c r="A418" s="28">
        <v>148</v>
      </c>
      <c r="B418" s="28">
        <v>36.76</v>
      </c>
    </row>
    <row r="419" spans="1:2" x14ac:dyDescent="0.3">
      <c r="A419" s="28">
        <v>150</v>
      </c>
      <c r="B419" s="28">
        <v>37.21</v>
      </c>
    </row>
    <row r="420" spans="1:2" x14ac:dyDescent="0.3">
      <c r="A420" s="28">
        <v>152</v>
      </c>
      <c r="B420" s="28">
        <v>37.659999999999997</v>
      </c>
    </row>
    <row r="421" spans="1:2" x14ac:dyDescent="0.3">
      <c r="A421" s="28">
        <v>154</v>
      </c>
      <c r="B421" s="28">
        <v>38.11</v>
      </c>
    </row>
    <row r="422" spans="1:2" x14ac:dyDescent="0.3">
      <c r="A422" s="28">
        <v>158</v>
      </c>
      <c r="B422" s="28">
        <v>39.01</v>
      </c>
    </row>
    <row r="423" spans="1:2" x14ac:dyDescent="0.3">
      <c r="A423" s="28">
        <v>160</v>
      </c>
      <c r="B423" s="28">
        <v>39.46</v>
      </c>
    </row>
    <row r="424" spans="1:2" x14ac:dyDescent="0.3">
      <c r="A424" s="28">
        <v>162</v>
      </c>
      <c r="B424" s="28">
        <v>39.909999999999997</v>
      </c>
    </row>
    <row r="425" spans="1:2" x14ac:dyDescent="0.3">
      <c r="A425" s="28">
        <v>164</v>
      </c>
      <c r="B425" s="28">
        <v>40.35</v>
      </c>
    </row>
    <row r="426" spans="1:2" x14ac:dyDescent="0.3">
      <c r="A426" s="28">
        <v>166</v>
      </c>
      <c r="B426" s="28">
        <v>40.799999999999997</v>
      </c>
    </row>
    <row r="427" spans="1:2" x14ac:dyDescent="0.3">
      <c r="A427" s="28">
        <v>168</v>
      </c>
      <c r="B427" s="28">
        <v>41.25</v>
      </c>
    </row>
    <row r="428" spans="1:2" x14ac:dyDescent="0.3">
      <c r="A428" s="28">
        <v>170</v>
      </c>
      <c r="B428" s="28">
        <v>41.7</v>
      </c>
    </row>
    <row r="429" spans="1:2" x14ac:dyDescent="0.3">
      <c r="A429" s="28">
        <v>172</v>
      </c>
      <c r="B429" s="28">
        <v>42.15</v>
      </c>
    </row>
    <row r="430" spans="1:2" x14ac:dyDescent="0.3">
      <c r="A430" s="28">
        <v>174</v>
      </c>
      <c r="B430" s="28">
        <v>42.6</v>
      </c>
    </row>
    <row r="431" spans="1:2" x14ac:dyDescent="0.3">
      <c r="A431" s="28">
        <v>176</v>
      </c>
      <c r="B431" s="28">
        <v>43.05</v>
      </c>
    </row>
    <row r="432" spans="1:2" x14ac:dyDescent="0.3">
      <c r="A432" s="28">
        <v>178</v>
      </c>
      <c r="B432" s="28">
        <v>43.5</v>
      </c>
    </row>
    <row r="433" spans="1:2" x14ac:dyDescent="0.3">
      <c r="A433" s="28">
        <v>180</v>
      </c>
      <c r="B433" s="28">
        <v>43.95</v>
      </c>
    </row>
    <row r="434" spans="1:2" x14ac:dyDescent="0.3">
      <c r="A434" s="28">
        <v>182</v>
      </c>
      <c r="B434" s="28">
        <v>44.4</v>
      </c>
    </row>
    <row r="435" spans="1:2" x14ac:dyDescent="0.3">
      <c r="A435" s="28">
        <v>184</v>
      </c>
      <c r="B435" s="28">
        <v>44.84</v>
      </c>
    </row>
    <row r="436" spans="1:2" x14ac:dyDescent="0.3">
      <c r="A436" s="28">
        <v>186</v>
      </c>
      <c r="B436" s="28">
        <v>45.29</v>
      </c>
    </row>
    <row r="437" spans="1:2" x14ac:dyDescent="0.3">
      <c r="A437" s="28">
        <v>188</v>
      </c>
      <c r="B437" s="28">
        <v>45.74</v>
      </c>
    </row>
    <row r="438" spans="1:2" x14ac:dyDescent="0.3">
      <c r="A438" s="28">
        <v>190</v>
      </c>
      <c r="B438" s="28">
        <v>46.19</v>
      </c>
    </row>
    <row r="439" spans="1:2" x14ac:dyDescent="0.3">
      <c r="A439" s="28">
        <v>192</v>
      </c>
      <c r="B439" s="28">
        <v>46.64</v>
      </c>
    </row>
    <row r="440" spans="1:2" x14ac:dyDescent="0.3">
      <c r="A440" s="28">
        <v>194</v>
      </c>
      <c r="B440" s="28">
        <v>47.09</v>
      </c>
    </row>
    <row r="441" spans="1:2" x14ac:dyDescent="0.3">
      <c r="A441" s="28">
        <v>196</v>
      </c>
      <c r="B441" s="28">
        <v>47.54</v>
      </c>
    </row>
    <row r="442" spans="1:2" x14ac:dyDescent="0.3">
      <c r="A442" s="28">
        <v>198</v>
      </c>
      <c r="B442" s="28">
        <v>47.99</v>
      </c>
    </row>
    <row r="443" spans="1:2" x14ac:dyDescent="0.3">
      <c r="A443" s="28">
        <v>200</v>
      </c>
      <c r="B443" s="28">
        <v>48.43</v>
      </c>
    </row>
    <row r="444" spans="1:2" x14ac:dyDescent="0.3">
      <c r="A444" s="28">
        <v>205</v>
      </c>
      <c r="B444" s="28">
        <v>49.49</v>
      </c>
    </row>
    <row r="445" spans="1:2" x14ac:dyDescent="0.3">
      <c r="A445" s="28">
        <v>210</v>
      </c>
      <c r="B445" s="28">
        <v>50.59</v>
      </c>
    </row>
    <row r="446" spans="1:2" x14ac:dyDescent="0.3">
      <c r="A446" s="28">
        <v>215</v>
      </c>
      <c r="B446" s="28">
        <v>51.7</v>
      </c>
    </row>
    <row r="447" spans="1:2" x14ac:dyDescent="0.3">
      <c r="A447" s="28">
        <v>220</v>
      </c>
      <c r="B447" s="28">
        <v>52.8</v>
      </c>
    </row>
    <row r="448" spans="1:2" x14ac:dyDescent="0.3">
      <c r="A448" s="28">
        <v>225</v>
      </c>
      <c r="B448" s="28">
        <v>53.9</v>
      </c>
    </row>
    <row r="449" spans="1:2" x14ac:dyDescent="0.3">
      <c r="A449" s="28">
        <v>230</v>
      </c>
      <c r="B449" s="28">
        <v>55</v>
      </c>
    </row>
    <row r="450" spans="1:2" x14ac:dyDescent="0.3">
      <c r="A450" s="28">
        <v>235</v>
      </c>
      <c r="B450" s="28">
        <v>56.1</v>
      </c>
    </row>
    <row r="451" spans="1:2" x14ac:dyDescent="0.3">
      <c r="A451" s="28">
        <v>240</v>
      </c>
      <c r="B451" s="28">
        <v>57.19</v>
      </c>
    </row>
    <row r="452" spans="1:2" x14ac:dyDescent="0.3">
      <c r="A452" s="28">
        <v>245</v>
      </c>
      <c r="B452" s="28">
        <v>58.29</v>
      </c>
    </row>
    <row r="453" spans="1:2" x14ac:dyDescent="0.3">
      <c r="A453" s="28">
        <v>250</v>
      </c>
      <c r="B453" s="28">
        <v>59.38</v>
      </c>
    </row>
    <row r="454" spans="1:2" x14ac:dyDescent="0.3">
      <c r="A454" s="28">
        <v>255</v>
      </c>
      <c r="B454" s="28">
        <v>60.48</v>
      </c>
    </row>
    <row r="455" spans="1:2" x14ac:dyDescent="0.3">
      <c r="A455" s="28">
        <v>260</v>
      </c>
      <c r="B455" s="28">
        <v>61.57</v>
      </c>
    </row>
    <row r="456" spans="1:2" x14ac:dyDescent="0.3">
      <c r="A456" s="28">
        <v>265</v>
      </c>
      <c r="B456" s="28">
        <v>62.66</v>
      </c>
    </row>
    <row r="457" spans="1:2" x14ac:dyDescent="0.3">
      <c r="A457" s="28">
        <v>270</v>
      </c>
      <c r="B457" s="28">
        <v>63.75</v>
      </c>
    </row>
    <row r="458" spans="1:2" x14ac:dyDescent="0.3">
      <c r="A458" s="28">
        <v>275</v>
      </c>
      <c r="B458" s="28">
        <v>64.849999999999994</v>
      </c>
    </row>
    <row r="459" spans="1:2" x14ac:dyDescent="0.3">
      <c r="A459" s="28">
        <v>280</v>
      </c>
      <c r="B459" s="28">
        <v>65.94</v>
      </c>
    </row>
    <row r="460" spans="1:2" x14ac:dyDescent="0.3">
      <c r="A460" s="28">
        <v>285</v>
      </c>
      <c r="B460" s="28">
        <v>67.03</v>
      </c>
    </row>
    <row r="461" spans="1:2" x14ac:dyDescent="0.3">
      <c r="A461" s="28">
        <v>290</v>
      </c>
      <c r="B461" s="28">
        <v>68.12</v>
      </c>
    </row>
    <row r="462" spans="1:2" x14ac:dyDescent="0.3">
      <c r="A462" s="28">
        <v>295</v>
      </c>
      <c r="B462" s="28">
        <v>69.2</v>
      </c>
    </row>
    <row r="463" spans="1:2" x14ac:dyDescent="0.3">
      <c r="A463" s="28">
        <v>300</v>
      </c>
      <c r="B463" s="28">
        <v>70.290000000000006</v>
      </c>
    </row>
    <row r="464" spans="1:2" x14ac:dyDescent="0.3">
      <c r="A464" s="28">
        <v>305</v>
      </c>
      <c r="B464" s="28">
        <v>71.38</v>
      </c>
    </row>
    <row r="465" spans="1:2" x14ac:dyDescent="0.3">
      <c r="A465" s="28">
        <v>315</v>
      </c>
      <c r="B465" s="28">
        <v>73.55</v>
      </c>
    </row>
    <row r="466" spans="1:2" x14ac:dyDescent="0.3">
      <c r="A466" s="28">
        <v>320</v>
      </c>
      <c r="B466" s="28">
        <v>74.63</v>
      </c>
    </row>
    <row r="467" spans="1:2" x14ac:dyDescent="0.3">
      <c r="A467" s="28">
        <v>325</v>
      </c>
      <c r="B467" s="28">
        <v>75.72</v>
      </c>
    </row>
    <row r="468" spans="1:2" x14ac:dyDescent="0.3">
      <c r="A468" s="28">
        <v>330</v>
      </c>
      <c r="B468" s="28">
        <v>76.8</v>
      </c>
    </row>
    <row r="469" spans="1:2" x14ac:dyDescent="0.3">
      <c r="A469" s="28">
        <v>335</v>
      </c>
      <c r="B469" s="28">
        <v>77.88</v>
      </c>
    </row>
    <row r="470" spans="1:2" x14ac:dyDescent="0.3">
      <c r="A470" s="28">
        <v>340</v>
      </c>
      <c r="B470" s="28">
        <v>78.959999999999994</v>
      </c>
    </row>
    <row r="471" spans="1:2" x14ac:dyDescent="0.3">
      <c r="A471" s="28">
        <v>345</v>
      </c>
      <c r="B471" s="28">
        <v>80.040000000000006</v>
      </c>
    </row>
    <row r="472" spans="1:2" x14ac:dyDescent="0.3">
      <c r="A472" s="28">
        <v>350</v>
      </c>
      <c r="B472" s="28">
        <v>81.12</v>
      </c>
    </row>
    <row r="473" spans="1:2" x14ac:dyDescent="0.3">
      <c r="A473" s="28">
        <v>355</v>
      </c>
      <c r="B473" s="28">
        <v>82.2</v>
      </c>
    </row>
    <row r="474" spans="1:2" x14ac:dyDescent="0.3">
      <c r="A474" s="28">
        <v>360</v>
      </c>
      <c r="B474" s="28">
        <v>83.28</v>
      </c>
    </row>
    <row r="475" spans="1:2" x14ac:dyDescent="0.3">
      <c r="A475" s="28">
        <v>365</v>
      </c>
      <c r="B475" s="28">
        <v>84.36</v>
      </c>
    </row>
    <row r="476" spans="1:2" x14ac:dyDescent="0.3">
      <c r="A476" s="28">
        <v>370</v>
      </c>
      <c r="B476" s="28">
        <v>85.44</v>
      </c>
    </row>
    <row r="477" spans="1:2" x14ac:dyDescent="0.3">
      <c r="A477" s="28">
        <v>375</v>
      </c>
      <c r="B477" s="28">
        <v>86.52</v>
      </c>
    </row>
    <row r="478" spans="1:2" x14ac:dyDescent="0.3">
      <c r="A478" s="28">
        <v>380</v>
      </c>
      <c r="B478" s="28">
        <v>87.6</v>
      </c>
    </row>
    <row r="479" spans="1:2" x14ac:dyDescent="0.3">
      <c r="A479" s="28">
        <v>385</v>
      </c>
      <c r="B479" s="28">
        <v>88.67</v>
      </c>
    </row>
    <row r="480" spans="1:2" x14ac:dyDescent="0.3">
      <c r="A480" s="28">
        <v>390</v>
      </c>
      <c r="B480" s="28">
        <v>89.75</v>
      </c>
    </row>
    <row r="481" spans="1:2" x14ac:dyDescent="0.3">
      <c r="A481" s="28">
        <v>395</v>
      </c>
      <c r="B481" s="28">
        <v>90.82</v>
      </c>
    </row>
    <row r="482" spans="1:2" x14ac:dyDescent="0.3">
      <c r="A482" s="28">
        <v>400</v>
      </c>
      <c r="B482" s="28">
        <v>91.9</v>
      </c>
    </row>
    <row r="483" spans="1:2" x14ac:dyDescent="0.3">
      <c r="A483" s="28">
        <v>405</v>
      </c>
      <c r="B483" s="28">
        <v>92.97</v>
      </c>
    </row>
    <row r="484" spans="1:2" x14ac:dyDescent="0.3">
      <c r="A484" s="28">
        <v>410</v>
      </c>
      <c r="B484" s="28">
        <v>94.05</v>
      </c>
    </row>
    <row r="485" spans="1:2" x14ac:dyDescent="0.3">
      <c r="A485" s="28">
        <v>415</v>
      </c>
      <c r="B485" s="28">
        <v>95.12</v>
      </c>
    </row>
    <row r="486" spans="1:2" x14ac:dyDescent="0.3">
      <c r="A486" s="28">
        <v>420</v>
      </c>
      <c r="B486" s="28">
        <v>96.2</v>
      </c>
    </row>
    <row r="487" spans="1:2" x14ac:dyDescent="0.3">
      <c r="A487" s="28">
        <v>425</v>
      </c>
      <c r="B487" s="28">
        <v>97.27</v>
      </c>
    </row>
    <row r="488" spans="1:2" x14ac:dyDescent="0.3">
      <c r="A488" s="28">
        <v>430</v>
      </c>
      <c r="B488" s="28">
        <v>98.34</v>
      </c>
    </row>
    <row r="489" spans="1:2" x14ac:dyDescent="0.3">
      <c r="A489" s="28">
        <v>435</v>
      </c>
      <c r="B489" s="28">
        <v>99.41</v>
      </c>
    </row>
    <row r="490" spans="1:2" x14ac:dyDescent="0.3">
      <c r="A490" s="28">
        <v>440</v>
      </c>
      <c r="B490" s="28">
        <v>100.49</v>
      </c>
    </row>
    <row r="491" spans="1:2" x14ac:dyDescent="0.3">
      <c r="A491" s="28">
        <v>445</v>
      </c>
      <c r="B491" s="28">
        <v>101.56</v>
      </c>
    </row>
    <row r="492" spans="1:2" x14ac:dyDescent="0.3">
      <c r="A492" s="28">
        <v>450</v>
      </c>
      <c r="B492" s="28">
        <v>102.63</v>
      </c>
    </row>
    <row r="493" spans="1:2" x14ac:dyDescent="0.3">
      <c r="A493" s="28">
        <v>455</v>
      </c>
      <c r="B493" s="28">
        <v>103.7</v>
      </c>
    </row>
    <row r="494" spans="1:2" x14ac:dyDescent="0.3">
      <c r="A494" s="28">
        <v>460</v>
      </c>
      <c r="B494" s="28">
        <v>104.77</v>
      </c>
    </row>
    <row r="495" spans="1:2" x14ac:dyDescent="0.3">
      <c r="A495" s="28">
        <v>465</v>
      </c>
      <c r="B495" s="28">
        <v>105.84</v>
      </c>
    </row>
    <row r="496" spans="1:2" x14ac:dyDescent="0.3">
      <c r="A496" s="28">
        <v>470</v>
      </c>
      <c r="B496" s="28">
        <v>106.91</v>
      </c>
    </row>
    <row r="497" spans="1:2" x14ac:dyDescent="0.3">
      <c r="A497" s="28">
        <v>475</v>
      </c>
      <c r="B497" s="28">
        <v>107.98</v>
      </c>
    </row>
    <row r="498" spans="1:2" x14ac:dyDescent="0.3">
      <c r="A498" s="28">
        <v>480</v>
      </c>
      <c r="B498" s="28">
        <v>109.05</v>
      </c>
    </row>
    <row r="499" spans="1:2" x14ac:dyDescent="0.3">
      <c r="A499" s="28">
        <v>485</v>
      </c>
      <c r="B499" s="28">
        <v>110.11</v>
      </c>
    </row>
    <row r="500" spans="1:2" x14ac:dyDescent="0.3">
      <c r="A500" s="28">
        <v>490</v>
      </c>
      <c r="B500" s="28">
        <v>111.18</v>
      </c>
    </row>
    <row r="501" spans="1:2" x14ac:dyDescent="0.3">
      <c r="A501" s="28">
        <v>495</v>
      </c>
      <c r="B501" s="28">
        <v>112.25</v>
      </c>
    </row>
    <row r="502" spans="1:2" x14ac:dyDescent="0.3">
      <c r="A502" s="28">
        <v>500</v>
      </c>
      <c r="B502" s="28">
        <v>113.32</v>
      </c>
    </row>
    <row r="503" spans="1:2" x14ac:dyDescent="0.3">
      <c r="A503" s="28">
        <v>505</v>
      </c>
      <c r="B503" s="28">
        <v>114.38</v>
      </c>
    </row>
    <row r="504" spans="1:2" x14ac:dyDescent="0.3">
      <c r="A504" s="28">
        <v>510</v>
      </c>
      <c r="B504" s="28">
        <v>115.45</v>
      </c>
    </row>
    <row r="505" spans="1:2" x14ac:dyDescent="0.3">
      <c r="A505" s="28">
        <v>515</v>
      </c>
      <c r="B505" s="28">
        <v>116.52</v>
      </c>
    </row>
    <row r="506" spans="1:2" x14ac:dyDescent="0.3">
      <c r="A506" s="28">
        <v>520</v>
      </c>
      <c r="B506" s="28">
        <v>117.58</v>
      </c>
    </row>
    <row r="507" spans="1:2" x14ac:dyDescent="0.3">
      <c r="A507" s="28">
        <v>525</v>
      </c>
      <c r="B507" s="28">
        <v>118.65</v>
      </c>
    </row>
    <row r="508" spans="1:2" x14ac:dyDescent="0.3">
      <c r="A508" s="28">
        <v>535</v>
      </c>
      <c r="B508" s="28">
        <v>120.78</v>
      </c>
    </row>
    <row r="509" spans="1:2" x14ac:dyDescent="0.3">
      <c r="A509" s="28">
        <v>540</v>
      </c>
      <c r="B509" s="28">
        <v>121.84</v>
      </c>
    </row>
    <row r="510" spans="1:2" x14ac:dyDescent="0.3">
      <c r="A510" s="28">
        <v>545</v>
      </c>
      <c r="B510" s="28">
        <v>122.91</v>
      </c>
    </row>
    <row r="511" spans="1:2" x14ac:dyDescent="0.3">
      <c r="A511" s="28">
        <v>550</v>
      </c>
      <c r="B511" s="28">
        <v>123.97</v>
      </c>
    </row>
    <row r="512" spans="1:2" x14ac:dyDescent="0.3">
      <c r="A512" s="28">
        <v>555</v>
      </c>
      <c r="B512" s="28">
        <v>125.04</v>
      </c>
    </row>
    <row r="513" spans="1:2" x14ac:dyDescent="0.3">
      <c r="A513" s="28">
        <v>560</v>
      </c>
      <c r="B513" s="28">
        <v>126.1</v>
      </c>
    </row>
    <row r="514" spans="1:2" x14ac:dyDescent="0.3">
      <c r="A514" s="28">
        <v>565</v>
      </c>
      <c r="B514" s="28">
        <v>127.16</v>
      </c>
    </row>
    <row r="515" spans="1:2" x14ac:dyDescent="0.3">
      <c r="A515" s="28">
        <v>570</v>
      </c>
      <c r="B515" s="28">
        <v>128.22</v>
      </c>
    </row>
    <row r="516" spans="1:2" x14ac:dyDescent="0.3">
      <c r="A516" s="28">
        <v>575</v>
      </c>
      <c r="B516" s="28">
        <v>129.29</v>
      </c>
    </row>
    <row r="517" spans="1:2" x14ac:dyDescent="0.3">
      <c r="A517" s="28">
        <v>580</v>
      </c>
      <c r="B517" s="28">
        <v>130.35</v>
      </c>
    </row>
    <row r="518" spans="1:2" x14ac:dyDescent="0.3">
      <c r="A518" s="28">
        <v>585</v>
      </c>
      <c r="B518" s="28">
        <v>131.41</v>
      </c>
    </row>
    <row r="519" spans="1:2" x14ac:dyDescent="0.3">
      <c r="A519" s="28">
        <v>590</v>
      </c>
      <c r="B519" s="28">
        <v>132.47</v>
      </c>
    </row>
    <row r="520" spans="1:2" x14ac:dyDescent="0.3">
      <c r="A520" s="28">
        <v>595</v>
      </c>
      <c r="B520" s="28">
        <v>133.54</v>
      </c>
    </row>
    <row r="521" spans="1:2" x14ac:dyDescent="0.3">
      <c r="A521" s="28">
        <v>600</v>
      </c>
      <c r="B521" s="28">
        <v>134.6</v>
      </c>
    </row>
    <row r="522" spans="1:2" x14ac:dyDescent="0.3">
      <c r="A522" s="28">
        <v>605</v>
      </c>
      <c r="B522" s="28">
        <v>135.66</v>
      </c>
    </row>
    <row r="523" spans="1:2" x14ac:dyDescent="0.3">
      <c r="A523" s="28">
        <v>610</v>
      </c>
      <c r="B523" s="28">
        <v>136.72</v>
      </c>
    </row>
    <row r="524" spans="1:2" x14ac:dyDescent="0.3">
      <c r="A524" s="28">
        <v>615</v>
      </c>
      <c r="B524" s="28">
        <v>137.78</v>
      </c>
    </row>
    <row r="525" spans="1:2" x14ac:dyDescent="0.3">
      <c r="A525" s="28">
        <v>620</v>
      </c>
      <c r="B525" s="28">
        <v>138.84</v>
      </c>
    </row>
    <row r="526" spans="1:2" x14ac:dyDescent="0.3">
      <c r="A526" s="28">
        <v>625</v>
      </c>
      <c r="B526" s="28">
        <v>139.9</v>
      </c>
    </row>
    <row r="527" spans="1:2" x14ac:dyDescent="0.3">
      <c r="A527" s="28">
        <v>630</v>
      </c>
      <c r="B527" s="28">
        <v>140.96</v>
      </c>
    </row>
    <row r="528" spans="1:2" x14ac:dyDescent="0.3">
      <c r="A528" s="28">
        <v>635</v>
      </c>
      <c r="B528" s="28">
        <v>142.02000000000001</v>
      </c>
    </row>
    <row r="529" spans="1:2" x14ac:dyDescent="0.3">
      <c r="A529" s="28">
        <v>640</v>
      </c>
      <c r="B529" s="28">
        <v>143.08000000000001</v>
      </c>
    </row>
    <row r="530" spans="1:2" x14ac:dyDescent="0.3">
      <c r="A530" s="28">
        <v>645</v>
      </c>
      <c r="B530" s="28">
        <v>144.13999999999999</v>
      </c>
    </row>
    <row r="531" spans="1:2" x14ac:dyDescent="0.3">
      <c r="A531" s="28">
        <v>650</v>
      </c>
      <c r="B531" s="28">
        <v>145.19999999999999</v>
      </c>
    </row>
    <row r="532" spans="1:2" x14ac:dyDescent="0.3">
      <c r="A532" s="28">
        <v>655</v>
      </c>
      <c r="B532" s="28">
        <v>146.25</v>
      </c>
    </row>
    <row r="533" spans="1:2" x14ac:dyDescent="0.3">
      <c r="A533" s="28">
        <v>660</v>
      </c>
      <c r="B533" s="28">
        <v>147.31</v>
      </c>
    </row>
    <row r="534" spans="1:2" x14ac:dyDescent="0.3">
      <c r="A534" s="28">
        <v>665</v>
      </c>
      <c r="B534" s="28">
        <v>148.37</v>
      </c>
    </row>
    <row r="535" spans="1:2" x14ac:dyDescent="0.3">
      <c r="A535" s="28">
        <v>670</v>
      </c>
      <c r="B535" s="28">
        <v>149.43</v>
      </c>
    </row>
    <row r="536" spans="1:2" x14ac:dyDescent="0.3">
      <c r="A536" s="28">
        <v>675</v>
      </c>
      <c r="B536" s="28">
        <v>150.49</v>
      </c>
    </row>
    <row r="537" spans="1:2" x14ac:dyDescent="0.3">
      <c r="A537" s="28">
        <v>685</v>
      </c>
      <c r="B537" s="28">
        <v>152.6</v>
      </c>
    </row>
    <row r="538" spans="1:2" x14ac:dyDescent="0.3">
      <c r="A538" s="28">
        <v>690</v>
      </c>
      <c r="B538" s="28">
        <v>153.66</v>
      </c>
    </row>
    <row r="539" spans="1:2" x14ac:dyDescent="0.3">
      <c r="A539" s="28">
        <v>695</v>
      </c>
      <c r="B539" s="28">
        <v>154.72</v>
      </c>
    </row>
    <row r="540" spans="1:2" x14ac:dyDescent="0.3">
      <c r="A540" s="28">
        <v>700</v>
      </c>
      <c r="B540" s="28">
        <v>155.77000000000001</v>
      </c>
    </row>
    <row r="541" spans="1:2" x14ac:dyDescent="0.3">
      <c r="A541" s="28">
        <v>705</v>
      </c>
      <c r="B541" s="28">
        <v>156.83000000000001</v>
      </c>
    </row>
    <row r="542" spans="1:2" x14ac:dyDescent="0.3">
      <c r="A542" s="28">
        <v>710</v>
      </c>
      <c r="B542" s="28">
        <v>157.88999999999999</v>
      </c>
    </row>
    <row r="543" spans="1:2" x14ac:dyDescent="0.3">
      <c r="A543" s="28">
        <v>715</v>
      </c>
      <c r="B543" s="28">
        <v>158.94</v>
      </c>
    </row>
    <row r="544" spans="1:2" x14ac:dyDescent="0.3">
      <c r="A544" s="28">
        <v>720</v>
      </c>
      <c r="B544" s="28">
        <v>160</v>
      </c>
    </row>
    <row r="545" spans="1:2" x14ac:dyDescent="0.3">
      <c r="A545" s="28">
        <v>725</v>
      </c>
      <c r="B545" s="28">
        <v>161.06</v>
      </c>
    </row>
    <row r="546" spans="1:2" x14ac:dyDescent="0.3">
      <c r="A546" s="28">
        <v>730</v>
      </c>
      <c r="B546" s="28">
        <v>162.11000000000001</v>
      </c>
    </row>
    <row r="547" spans="1:2" x14ac:dyDescent="0.3">
      <c r="A547" s="28">
        <v>735</v>
      </c>
      <c r="B547" s="28">
        <v>163.16999999999999</v>
      </c>
    </row>
    <row r="548" spans="1:2" x14ac:dyDescent="0.3">
      <c r="A548" s="28">
        <v>740</v>
      </c>
      <c r="B548" s="28">
        <v>164.22</v>
      </c>
    </row>
    <row r="549" spans="1:2" x14ac:dyDescent="0.3">
      <c r="A549" s="28">
        <v>745</v>
      </c>
      <c r="B549" s="28">
        <v>165.28</v>
      </c>
    </row>
    <row r="550" spans="1:2" x14ac:dyDescent="0.3">
      <c r="A550" s="28">
        <v>755</v>
      </c>
      <c r="B550" s="28">
        <v>167.39</v>
      </c>
    </row>
    <row r="551" spans="1:2" x14ac:dyDescent="0.3">
      <c r="A551" s="28">
        <v>760</v>
      </c>
      <c r="B551" s="28">
        <v>168.44</v>
      </c>
    </row>
    <row r="552" spans="1:2" x14ac:dyDescent="0.3">
      <c r="A552" s="28">
        <v>765</v>
      </c>
      <c r="B552" s="28">
        <v>169.5</v>
      </c>
    </row>
    <row r="553" spans="1:2" x14ac:dyDescent="0.3">
      <c r="A553" s="28">
        <v>770</v>
      </c>
      <c r="B553" s="28">
        <v>170.55</v>
      </c>
    </row>
    <row r="554" spans="1:2" x14ac:dyDescent="0.3">
      <c r="A554" s="28">
        <v>775</v>
      </c>
      <c r="B554" s="28">
        <v>171.6</v>
      </c>
    </row>
    <row r="555" spans="1:2" x14ac:dyDescent="0.3">
      <c r="A555" s="28">
        <v>780</v>
      </c>
      <c r="B555" s="28">
        <v>172.66</v>
      </c>
    </row>
    <row r="556" spans="1:2" x14ac:dyDescent="0.3">
      <c r="A556" s="28">
        <v>785</v>
      </c>
      <c r="B556" s="28">
        <v>173.71</v>
      </c>
    </row>
    <row r="557" spans="1:2" x14ac:dyDescent="0.3">
      <c r="A557" s="28">
        <v>790</v>
      </c>
      <c r="B557" s="28">
        <v>174.76</v>
      </c>
    </row>
    <row r="558" spans="1:2" x14ac:dyDescent="0.3">
      <c r="A558" s="28">
        <v>795</v>
      </c>
      <c r="B558" s="28">
        <v>175.82</v>
      </c>
    </row>
    <row r="559" spans="1:2" x14ac:dyDescent="0.3">
      <c r="A559" s="28">
        <v>800</v>
      </c>
      <c r="B559" s="28">
        <v>176.87</v>
      </c>
    </row>
    <row r="560" spans="1:2" x14ac:dyDescent="0.3">
      <c r="A560" s="28">
        <v>810</v>
      </c>
      <c r="B560" s="28">
        <v>178.98</v>
      </c>
    </row>
    <row r="561" spans="1:2" x14ac:dyDescent="0.3">
      <c r="A561" s="28">
        <v>820</v>
      </c>
      <c r="B561" s="28">
        <v>181.08</v>
      </c>
    </row>
    <row r="562" spans="1:2" x14ac:dyDescent="0.3">
      <c r="A562" s="28">
        <v>830</v>
      </c>
      <c r="B562" s="28">
        <v>183.19</v>
      </c>
    </row>
    <row r="563" spans="1:2" x14ac:dyDescent="0.3">
      <c r="A563" s="28">
        <v>840</v>
      </c>
      <c r="B563" s="28">
        <v>185.29</v>
      </c>
    </row>
    <row r="564" spans="1:2" x14ac:dyDescent="0.3">
      <c r="A564" s="28">
        <v>850</v>
      </c>
      <c r="B564" s="28">
        <v>187.39</v>
      </c>
    </row>
    <row r="565" spans="1:2" x14ac:dyDescent="0.3">
      <c r="A565" s="28">
        <v>860</v>
      </c>
      <c r="B565" s="28">
        <v>189.49</v>
      </c>
    </row>
    <row r="566" spans="1:2" x14ac:dyDescent="0.3">
      <c r="A566" s="28">
        <v>870</v>
      </c>
      <c r="B566" s="28">
        <v>191.6</v>
      </c>
    </row>
    <row r="567" spans="1:2" x14ac:dyDescent="0.3">
      <c r="A567" s="28">
        <v>880</v>
      </c>
      <c r="B567" s="28">
        <v>193.7</v>
      </c>
    </row>
    <row r="568" spans="1:2" x14ac:dyDescent="0.3">
      <c r="A568" s="28">
        <v>890</v>
      </c>
      <c r="B568" s="28">
        <v>195.7</v>
      </c>
    </row>
    <row r="569" spans="1:2" x14ac:dyDescent="0.3">
      <c r="A569" s="28">
        <v>900</v>
      </c>
      <c r="B569" s="28">
        <v>197.9</v>
      </c>
    </row>
    <row r="570" spans="1:2" x14ac:dyDescent="0.3">
      <c r="A570" s="28">
        <v>910</v>
      </c>
      <c r="B570" s="28">
        <v>200</v>
      </c>
    </row>
    <row r="571" spans="1:2" x14ac:dyDescent="0.3">
      <c r="A571" s="28">
        <v>920</v>
      </c>
      <c r="B571" s="28">
        <v>202.1</v>
      </c>
    </row>
    <row r="572" spans="1:2" x14ac:dyDescent="0.3">
      <c r="A572" s="28">
        <v>930</v>
      </c>
      <c r="B572" s="28">
        <v>204.2</v>
      </c>
    </row>
    <row r="573" spans="1:2" x14ac:dyDescent="0.3">
      <c r="A573" s="28">
        <v>940</v>
      </c>
      <c r="B573" s="28">
        <v>206.3</v>
      </c>
    </row>
    <row r="574" spans="1:2" x14ac:dyDescent="0.3">
      <c r="A574" s="28">
        <v>950</v>
      </c>
      <c r="B574" s="28">
        <v>208.39</v>
      </c>
    </row>
    <row r="575" spans="1:2" x14ac:dyDescent="0.3">
      <c r="A575" s="28">
        <v>960</v>
      </c>
      <c r="B575" s="28">
        <v>210.49</v>
      </c>
    </row>
    <row r="576" spans="1:2" x14ac:dyDescent="0.3">
      <c r="A576" s="28">
        <v>970</v>
      </c>
      <c r="B576" s="28">
        <v>212.59</v>
      </c>
    </row>
    <row r="577" spans="1:2" x14ac:dyDescent="0.3">
      <c r="A577" s="28">
        <v>980</v>
      </c>
      <c r="B577" s="28">
        <v>214.68</v>
      </c>
    </row>
    <row r="578" spans="1:2" x14ac:dyDescent="0.3">
      <c r="A578" s="28">
        <v>990</v>
      </c>
      <c r="B578" s="28">
        <v>216.78</v>
      </c>
    </row>
    <row r="579" spans="1:2" x14ac:dyDescent="0.3">
      <c r="A579" s="28">
        <v>1000</v>
      </c>
      <c r="B579" s="28">
        <v>218.87</v>
      </c>
    </row>
    <row r="580" spans="1:2" x14ac:dyDescent="0.3">
      <c r="A580" s="28">
        <v>1250</v>
      </c>
      <c r="B580" s="28">
        <v>271.14</v>
      </c>
    </row>
    <row r="581" spans="1:2" x14ac:dyDescent="0.3">
      <c r="A581" s="28">
        <v>1600</v>
      </c>
      <c r="B581" s="28">
        <v>343.9</v>
      </c>
    </row>
    <row r="582" spans="1:2" x14ac:dyDescent="0.3">
      <c r="A582" s="28">
        <v>2000</v>
      </c>
      <c r="B582" s="28">
        <v>426.8</v>
      </c>
    </row>
  </sheetData>
  <pageMargins left="0.75" right="0.75" top="1" bottom="1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13</vt:i4>
      </vt:variant>
      <vt:variant>
        <vt:lpstr>Именованные диапазоны</vt:lpstr>
      </vt:variant>
      <vt:variant>
        <vt:i4>97</vt:i4>
      </vt:variant>
    </vt:vector>
  </HeadingPairs>
  <TitlesOfParts>
    <vt:vector size="110" baseType="lpstr">
      <vt:lpstr>Содержание</vt:lpstr>
      <vt:lpstr>1.1 Исходные</vt:lpstr>
      <vt:lpstr>1.2 Нормы</vt:lpstr>
      <vt:lpstr>1.3 Расходы</vt:lpstr>
      <vt:lpstr>1.4 Гидравлика В1</vt:lpstr>
      <vt:lpstr>1.5 Ввод</vt:lpstr>
      <vt:lpstr>1.6 Счётчики</vt:lpstr>
      <vt:lpstr>1.7 Напор</vt:lpstr>
      <vt:lpstr>1.8 Насос</vt:lpstr>
      <vt:lpstr>2.1 Стояки К1</vt:lpstr>
      <vt:lpstr>2.2 Горизонт. К1</vt:lpstr>
      <vt:lpstr>2.3 Отметки</vt:lpstr>
      <vt:lpstr>Табл. Б.2</vt:lpstr>
      <vt:lpstr>A_C</vt:lpstr>
      <vt:lpstr>A_TOT</vt:lpstr>
      <vt:lpstr>AHR_C</vt:lpstr>
      <vt:lpstr>AHR_TOT</vt:lpstr>
      <vt:lpstr>B2_A</vt:lpstr>
      <vt:lpstr>B2_NP</vt:lpstr>
      <vt:lpstr>D_GOR_K</vt:lpstr>
      <vt:lpstr>D_GOR_V</vt:lpstr>
      <vt:lpstr>DH_POL</vt:lpstr>
      <vt:lpstr>H_ET</vt:lpstr>
      <vt:lpstr>H_GAR</vt:lpstr>
      <vt:lpstr>H_GEOM</vt:lpstr>
      <vt:lpstr>H_PODVAL</vt:lpstr>
      <vt:lpstr>H_PROMERZ</vt:lpstr>
      <vt:lpstr>H_RAB</vt:lpstr>
      <vt:lpstr>H_SCH</vt:lpstr>
      <vt:lpstr>H_SCH_</vt:lpstr>
      <vt:lpstr>H_SUMH</vt:lpstr>
      <vt:lpstr>H_SV</vt:lpstr>
      <vt:lpstr>H_SV_</vt:lpstr>
      <vt:lpstr>H_TR</vt:lpstr>
      <vt:lpstr>H_VVOD</vt:lpstr>
      <vt:lpstr>H_VVOD_</vt:lpstr>
      <vt:lpstr>H0_MIN</vt:lpstr>
      <vt:lpstr>K_L</vt:lpstr>
      <vt:lpstr>K1_I_0</vt:lpstr>
      <vt:lpstr>K1_I_1</vt:lpstr>
      <vt:lpstr>K1_I_2</vt:lpstr>
      <vt:lpstr>K1_I_3</vt:lpstr>
      <vt:lpstr>K1_I_4</vt:lpstr>
      <vt:lpstr>K1_I_5</vt:lpstr>
      <vt:lpstr>K1_I_6</vt:lpstr>
      <vt:lpstr>K1_IL_0</vt:lpstr>
      <vt:lpstr>K1_IL_1</vt:lpstr>
      <vt:lpstr>K1_IL_2</vt:lpstr>
      <vt:lpstr>K1_IL_3</vt:lpstr>
      <vt:lpstr>K1_IL_4</vt:lpstr>
      <vt:lpstr>K1_IL_5</vt:lpstr>
      <vt:lpstr>K1_IL_6</vt:lpstr>
      <vt:lpstr>L_VVOD</vt:lpstr>
      <vt:lpstr>N_</vt:lpstr>
      <vt:lpstr>N_ET</vt:lpstr>
      <vt:lpstr>N_KV</vt:lpstr>
      <vt:lpstr>N_POL</vt:lpstr>
      <vt:lpstr>N_PR</vt:lpstr>
      <vt:lpstr>N_SEK</vt:lpstr>
      <vt:lpstr>NKV_SEK</vt:lpstr>
      <vt:lpstr>NP_C</vt:lpstr>
      <vt:lpstr>NP_TOT</vt:lpstr>
      <vt:lpstr>P_C</vt:lpstr>
      <vt:lpstr>P_TOT</vt:lpstr>
      <vt:lpstr>PHR_C</vt:lpstr>
      <vt:lpstr>PHR_TOT</vt:lpstr>
      <vt:lpstr>Q_C</vt:lpstr>
      <vt:lpstr>Q_NAS</vt:lpstr>
      <vt:lpstr>Q_TOT</vt:lpstr>
      <vt:lpstr>Q0_C</vt:lpstr>
      <vt:lpstr>Q0_H</vt:lpstr>
      <vt:lpstr>Q0_TOT</vt:lpstr>
      <vt:lpstr>Q0HR_C</vt:lpstr>
      <vt:lpstr>Q0HR_H</vt:lpstr>
      <vt:lpstr>Q0HR_TOT</vt:lpstr>
      <vt:lpstr>QHR_C</vt:lpstr>
      <vt:lpstr>QHR_C_</vt:lpstr>
      <vt:lpstr>QHR_H</vt:lpstr>
      <vt:lpstr>QHR_TOT</vt:lpstr>
      <vt:lpstr>QHR_TOT_</vt:lpstr>
      <vt:lpstr>QSUT_C</vt:lpstr>
      <vt:lpstr>QSUT_TOT</vt:lpstr>
      <vt:lpstr>QT_C</vt:lpstr>
      <vt:lpstr>QT_TOT</vt:lpstr>
      <vt:lpstr>QU_C</vt:lpstr>
      <vt:lpstr>QU_H</vt:lpstr>
      <vt:lpstr>QU_TOT</vt:lpstr>
      <vt:lpstr>SUM_H</vt:lpstr>
      <vt:lpstr>T_CH_C</vt:lpstr>
      <vt:lpstr>T_CH_H</vt:lpstr>
      <vt:lpstr>T_CH_TOT</vt:lpstr>
      <vt:lpstr>T_PEREKR</vt:lpstr>
      <vt:lpstr>U_</vt:lpstr>
      <vt:lpstr>U_ZAS</vt:lpstr>
      <vt:lpstr>VGP_D</vt:lpstr>
      <vt:lpstr>VGP_DN</vt:lpstr>
      <vt:lpstr>VV_D</vt:lpstr>
      <vt:lpstr>VV_DELTA</vt:lpstr>
      <vt:lpstr>VV_DN</vt:lpstr>
      <vt:lpstr>VV_I</vt:lpstr>
      <vt:lpstr>VV_LAM</vt:lpstr>
      <vt:lpstr>VV_NU</vt:lpstr>
      <vt:lpstr>VV_Q</vt:lpstr>
      <vt:lpstr>VV_RE</vt:lpstr>
      <vt:lpstr>VV_V</vt:lpstr>
      <vt:lpstr>Z_DIKT</vt:lpstr>
      <vt:lpstr>Z_GOR</vt:lpstr>
      <vt:lpstr>Z_PR_DIKT</vt:lpstr>
      <vt:lpstr>Z_ZEML_GVK</vt:lpstr>
      <vt:lpstr>Z0_ABS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Даниил</cp:lastModifiedBy>
  <dcterms:created xsi:type="dcterms:W3CDTF">2026-10-09T20:24:39Z</dcterms:created>
  <dcterms:modified xsi:type="dcterms:W3CDTF">2026-10-09T20:24:58Z</dcterms:modified>
</cp:coreProperties>
</file>