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сходные данные" sheetId="1" state="visible" r:id="rId3"/>
    <sheet name="ЛНР" sheetId="2" state="visible" r:id="rId4"/>
    <sheet name="Объёмы" sheetId="3" state="visible" r:id="rId5"/>
    <sheet name="Котлован" sheetId="4" state="visible" r:id="rId6"/>
    <sheet name="Сводный баланс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Супесь: остаточное разрыхление 3–5 % (табл. П2.1 методички), Kор = 1,03…1,05. Принято 1,04 — по указанию преподавателя брать в этом диапазоне.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пятиугольник: h1, h7, h8; т.0 на h1–h2, h2–h8</t>
        </r>
      </text>
    </comment>
    <comment ref="A7" authorId="0">
      <text>
        <r>
          <rPr>
            <sz val="10"/>
            <rFont val="Arial"/>
            <family val="2"/>
          </rPr>
          <t xml:space="preserve">треугольник: h8; т.0 на h2–h8, h8–h9</t>
        </r>
      </text>
    </comment>
    <comment ref="A11" authorId="0">
      <text>
        <r>
          <rPr>
            <sz val="10"/>
            <rFont val="Arial"/>
            <family val="2"/>
          </rPr>
          <t xml:space="preserve">квадрат: h13, h14, h8, h7</t>
        </r>
      </text>
    </comment>
    <comment ref="A12" authorId="0">
      <text>
        <r>
          <rPr>
            <sz val="10"/>
            <rFont val="Arial"/>
            <family val="2"/>
          </rPr>
          <t xml:space="preserve">пятиугольник: h8, h14, h15; т.0 на h8–h9, h9–h15</t>
        </r>
      </text>
    </comment>
    <comment ref="A13" authorId="0">
      <text>
        <r>
          <rPr>
            <sz val="10"/>
            <rFont val="Arial"/>
            <family val="2"/>
          </rPr>
          <t xml:space="preserve">треугольник: h15; т.0 на h9–h15, h15–h16</t>
        </r>
      </text>
    </comment>
    <comment ref="A16" authorId="0">
      <text>
        <r>
          <rPr>
            <sz val="10"/>
            <rFont val="Arial"/>
            <family val="2"/>
          </rPr>
          <t xml:space="preserve">квадрат: h19, h20, h14, h13</t>
        </r>
      </text>
    </comment>
    <comment ref="A17" authorId="0">
      <text>
        <r>
          <rPr>
            <sz val="10"/>
            <rFont val="Arial"/>
            <family val="2"/>
          </rPr>
          <t xml:space="preserve">квадрат: h20, h21, h15, h14</t>
        </r>
      </text>
    </comment>
    <comment ref="A18" authorId="0">
      <text>
        <r>
          <rPr>
            <sz val="10"/>
            <rFont val="Arial"/>
            <family val="2"/>
          </rPr>
          <t xml:space="preserve">пятиугольник: h15, h21, h22; т.0 на h15–h16, h16–h22</t>
        </r>
      </text>
    </comment>
    <comment ref="A19" authorId="0">
      <text>
        <r>
          <rPr>
            <sz val="10"/>
            <rFont val="Arial"/>
            <family val="2"/>
          </rPr>
          <t xml:space="preserve">трапеция: h22, h23; т.0 на h16–h22, h17–h23</t>
        </r>
      </text>
    </comment>
    <comment ref="A20" authorId="0">
      <text>
        <r>
          <rPr>
            <sz val="10"/>
            <rFont val="Arial"/>
            <family val="2"/>
          </rPr>
          <t xml:space="preserve">треугольник: h23; т.0 на h17–h23, h23–h24</t>
        </r>
      </text>
    </comment>
    <comment ref="E6" authorId="0">
      <text>
        <r>
          <rPr>
            <sz val="10"/>
            <rFont val="Arial"/>
            <family val="2"/>
          </rPr>
          <t xml:space="preserve">треугольник: h2; т.0 на h2–h8, h1–h2</t>
        </r>
      </text>
    </comment>
    <comment ref="E7" authorId="0">
      <text>
        <r>
          <rPr>
            <sz val="10"/>
            <rFont val="Arial"/>
            <family val="2"/>
          </rPr>
          <t xml:space="preserve">пятиугольник: h9, h3, h2; т.0 на h8–h9, h2–h8</t>
        </r>
      </text>
    </comment>
    <comment ref="E8" authorId="0">
      <text>
        <r>
          <rPr>
            <sz val="10"/>
            <rFont val="Arial"/>
            <family val="2"/>
          </rPr>
          <t xml:space="preserve">квадрат: h9, h10, h4, h3</t>
        </r>
      </text>
    </comment>
    <comment ref="E9" authorId="0">
      <text>
        <r>
          <rPr>
            <sz val="10"/>
            <rFont val="Arial"/>
            <family val="2"/>
          </rPr>
          <t xml:space="preserve">квадрат: h10, h11, h5, h4</t>
        </r>
      </text>
    </comment>
    <comment ref="E10" authorId="0">
      <text>
        <r>
          <rPr>
            <sz val="10"/>
            <rFont val="Arial"/>
            <family val="2"/>
          </rPr>
          <t xml:space="preserve">квадрат: h11, h12, h6, h5</t>
        </r>
      </text>
    </comment>
    <comment ref="E12" authorId="0">
      <text>
        <r>
          <rPr>
            <sz val="10"/>
            <rFont val="Arial"/>
            <family val="2"/>
          </rPr>
          <t xml:space="preserve">треугольник: h9; т.0 на h9–h15, h8–h9</t>
        </r>
      </text>
    </comment>
    <comment ref="E13" authorId="0">
      <text>
        <r>
          <rPr>
            <sz val="10"/>
            <rFont val="Arial"/>
            <family val="2"/>
          </rPr>
          <t xml:space="preserve">пятиугольник: h16, h10, h9; т.0 на h15–h16, h9–h15</t>
        </r>
      </text>
    </comment>
    <comment ref="E14" authorId="0">
      <text>
        <r>
          <rPr>
            <sz val="10"/>
            <rFont val="Arial"/>
            <family val="2"/>
          </rPr>
          <t xml:space="preserve">квадрат: h16, h17, h11, h10</t>
        </r>
      </text>
    </comment>
    <comment ref="E15" authorId="0">
      <text>
        <r>
          <rPr>
            <sz val="10"/>
            <rFont val="Arial"/>
            <family val="2"/>
          </rPr>
          <t xml:space="preserve">квадрат: h17, h18, h12, h11</t>
        </r>
      </text>
    </comment>
    <comment ref="E18" authorId="0">
      <text>
        <r>
          <rPr>
            <sz val="10"/>
            <rFont val="Arial"/>
            <family val="2"/>
          </rPr>
          <t xml:space="preserve">треугольник: h16; т.0 на h16–h22, h15–h16</t>
        </r>
      </text>
    </comment>
    <comment ref="E19" authorId="0">
      <text>
        <r>
          <rPr>
            <sz val="10"/>
            <rFont val="Arial"/>
            <family val="2"/>
          </rPr>
          <t xml:space="preserve">трапеция: h17, h16; т.0 на h17–h23, h16–h22</t>
        </r>
      </text>
    </comment>
    <comment ref="E20" authorId="0">
      <text>
        <r>
          <rPr>
            <sz val="10"/>
            <rFont val="Arial"/>
            <family val="2"/>
          </rPr>
          <t xml:space="preserve">пятиугольник: h24, h18, h17; т.0 на h23–h24, h17–h23</t>
        </r>
      </text>
    </comment>
  </commentList>
</comments>
</file>

<file path=xl/sharedStrings.xml><?xml version="1.0" encoding="utf-8"?>
<sst xmlns="http://schemas.openxmlformats.org/spreadsheetml/2006/main" count="382" uniqueCount="243">
  <si>
    <t xml:space="preserve">Курсовая работа «Технологическая карта на производство земляных работ». Вариант 2</t>
  </si>
  <si>
    <t xml:space="preserve">Сторона квадрата сетки a, м</t>
  </si>
  <si>
    <t xml:space="preserve">Редактировать можно только синие ячейки (жёлтая — принятое допущение).</t>
  </si>
  <si>
    <t xml:space="preserve">Коэффициент остаточного разрыхления Kор</t>
  </si>
  <si>
    <t xml:space="preserve">Рабочая отметка h = Hкр − Hчёрн: «−» — выемка (ПВ), «+» — насыпь (ПН).</t>
  </si>
  <si>
    <t xml:space="preserve">Грунт</t>
  </si>
  <si>
    <t xml:space="preserve">супесь</t>
  </si>
  <si>
    <t xml:space="preserve">Отметки — приложение 1 методички, вариант 2. Вершины нумеруются построчно слева направо, сверху вниз.</t>
  </si>
  <si>
    <t xml:space="preserve">Число квадратов</t>
  </si>
  <si>
    <t xml:space="preserve">№ вершины</t>
  </si>
  <si>
    <t xml:space="preserve">h, м</t>
  </si>
  <si>
    <t xml:space="preserve">Схема сетки (вид в плане, квадрат 100×100 м)</t>
  </si>
  <si>
    <t xml:space="preserve">h1</t>
  </si>
  <si>
    <t xml:space="preserve">h2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</si>
  <si>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</si>
  <si>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</si>
  <si>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</si>
  <si>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</si>
  <si>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</si>
  <si>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</si>
  <si>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h9</t>
  </si>
  <si>
    <t xml:space="preserve">h10</t>
  </si>
  <si>
    <t xml:space="preserve">h11</t>
  </si>
  <si>
    <t xml:space="preserve">h12</t>
  </si>
  <si>
    <t xml:space="preserve">h13</t>
  </si>
  <si>
    <t xml:space="preserve">h14</t>
  </si>
  <si>
    <t xml:space="preserve">h15</t>
  </si>
  <si>
    <t xml:space="preserve">h16</t>
  </si>
  <si>
    <t xml:space="preserve">h17</t>
  </si>
  <si>
    <t xml:space="preserve">h18</t>
  </si>
  <si>
    <t xml:space="preserve">h19</t>
  </si>
  <si>
    <t xml:space="preserve">h20</t>
  </si>
  <si>
    <t xml:space="preserve">h21</t>
  </si>
  <si>
    <t xml:space="preserve">h22</t>
  </si>
  <si>
    <t xml:space="preserve">h23</t>
  </si>
  <si>
    <t xml:space="preserve">h24</t>
  </si>
  <si>
    <t xml:space="preserve">Точки нулевых работ на сторонах квадратов</t>
  </si>
  <si>
    <t xml:space="preserve">x1 = a·|h1| / (|h1| + |h2|) — расстояние от вершины 1 до точки нуля;  x2 = a − x1</t>
  </si>
  <si>
    <t xml:space="preserve">№ т.0</t>
  </si>
  <si>
    <t xml:space="preserve">Сторона</t>
  </si>
  <si>
    <t xml:space="preserve">Вершина 1</t>
  </si>
  <si>
    <t xml:space="preserve">h1, м</t>
  </si>
  <si>
    <t xml:space="preserve">Вершина 2</t>
  </si>
  <si>
    <t xml:space="preserve">h2, м</t>
  </si>
  <si>
    <t xml:space="preserve">x1 (от верш. 1), м</t>
  </si>
  <si>
    <t xml:space="preserve">x2 (от верш. 2), м</t>
  </si>
  <si>
    <t xml:space="preserve">горизонтальная</t>
  </si>
  <si>
    <t xml:space="preserve">вертикальная</t>
  </si>
  <si>
    <t xml:space="preserve">Объёмы планировочных работ (метод квадратов)</t>
  </si>
  <si>
    <t xml:space="preserve">Vi = Fi · hср,i;   hср,i = (|h1| + |h2| + … + |hn|) / n, в точках нуля h = 0</t>
  </si>
  <si>
    <t xml:space="preserve">Планировочная выемка (ПВ)</t>
  </si>
  <si>
    <t xml:space="preserve">Планировочная насыпь (ПН)</t>
  </si>
  <si>
    <t xml:space="preserve">№ фигуры</t>
  </si>
  <si>
    <t xml:space="preserve">Fi, м²</t>
  </si>
  <si>
    <t xml:space="preserve">hср, м</t>
  </si>
  <si>
    <t xml:space="preserve">Vi, м³</t>
  </si>
  <si>
    <t xml:space="preserve">Vгр = Vi / Kор, м³</t>
  </si>
  <si>
    <t xml:space="preserve">1</t>
  </si>
  <si>
    <t xml:space="preserve">1'</t>
  </si>
  <si>
    <t xml:space="preserve">2</t>
  </si>
  <si>
    <t xml:space="preserve">2'</t>
  </si>
  <si>
    <t xml:space="preserve">—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</si>
  <si>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</si>
  <si>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</si>
  <si>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</si>
  <si>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</si>
  <si>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</si>
  <si>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7'</t>
  </si>
  <si>
    <t xml:space="preserve">8</t>
  </si>
  <si>
    <t xml:space="preserve">8'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</si>
  <si>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</si>
  <si>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</si>
  <si>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</si>
  <si>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</si>
  <si>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</si>
  <si>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13'</t>
  </si>
  <si>
    <t xml:space="preserve">14</t>
  </si>
  <si>
    <t xml:space="preserve">14'</t>
  </si>
  <si>
    <t xml:space="preserve">15</t>
  </si>
  <si>
    <t xml:space="preserve">15'</t>
  </si>
  <si>
    <t xml:space="preserve">Σ</t>
  </si>
  <si>
    <t xml:space="preserve">Сопоставление объёмов</t>
  </si>
  <si>
    <t xml:space="preserve">Площадь ПВ + ПН, м² (проверка)</t>
  </si>
  <si>
    <t xml:space="preserve">Площадь площадки 5 × 3 × a², м²</t>
  </si>
  <si>
    <t xml:space="preserve">ΣVпв — объём выемки, м³</t>
  </si>
  <si>
    <t xml:space="preserve">ΣVпн — объём насыпи, м³</t>
  </si>
  <si>
    <t xml:space="preserve">ΣVгр = ΣVпн / Kор — грунта в плотном теле на насыпь, м³</t>
  </si>
  <si>
    <t xml:space="preserve">Разница ΣVгр − ΣVпв, м³ («+» — не хватает грунта)</t>
  </si>
  <si>
    <t xml:space="preserve">Разница в % от ΣVпв</t>
  </si>
  <si>
    <t xml:space="preserve">Разницу покрывают в сводном балансе грунта: грунт из котлована, завоз из резерва или поправка отметок Δh — следующий этап.</t>
  </si>
  <si>
    <t xml:space="preserve">Котлован: контуры, размеры, геометрический объём (п. 2.2.2 методички)</t>
  </si>
  <si>
    <t xml:space="preserve">Задание 4, вариант 2 — только габариты; грунт — супесь. Здание — вариант размещения 8: центр здания в центре квадрата 8.</t>
  </si>
  <si>
    <t xml:space="preserve">Параметр</t>
  </si>
  <si>
    <t xml:space="preserve">Обозн.</t>
  </si>
  <si>
    <t xml:space="preserve">Значение</t>
  </si>
  <si>
    <t xml:space="preserve">Ед.</t>
  </si>
  <si>
    <t xml:space="preserve">Формула / источник</t>
  </si>
  <si>
    <t xml:space="preserve">Исходные данные — Задание 4, вариант 2</t>
  </si>
  <si>
    <t xml:space="preserve">Глубина котлована по заданию (от планировочной отметки)</t>
  </si>
  <si>
    <t xml:space="preserve">Нк</t>
  </si>
  <si>
    <t xml:space="preserve">м</t>
  </si>
  <si>
    <t xml:space="preserve">Высота фундаментной плиты</t>
  </si>
  <si>
    <t xml:space="preserve">Нф.п</t>
  </si>
  <si>
    <t xml:space="preserve">Толщина бетонной подготовки</t>
  </si>
  <si>
    <t xml:space="preserve">hб.п</t>
  </si>
  <si>
    <t xml:space="preserve">Толщина подсыпки (щебень)</t>
  </si>
  <si>
    <t xml:space="preserve">hподс</t>
  </si>
  <si>
    <t xml:space="preserve">Толщина стены подвала (по оси)</t>
  </si>
  <si>
    <t xml:space="preserve">Bп</t>
  </si>
  <si>
    <t xml:space="preserve">схема размещения фундамента</t>
  </si>
  <si>
    <t xml:space="preserve">Вылет плиты за наружную грань стены</t>
  </si>
  <si>
    <t xml:space="preserve">схема: 500</t>
  </si>
  <si>
    <t xml:space="preserve">Выход бетонной подготовки за плиту</t>
  </si>
  <si>
    <t xml:space="preserve">схема: 200; методичка — не менее 0,2</t>
  </si>
  <si>
    <t xml:space="preserve">От края подготовки до низа откоса</t>
  </si>
  <si>
    <t xml:space="preserve">Длина здания по осям</t>
  </si>
  <si>
    <t xml:space="preserve">Ширина здания по осям</t>
  </si>
  <si>
    <t xml:space="preserve">Вырез (правый нижний угол): длина</t>
  </si>
  <si>
    <t xml:space="preserve">Вырез: ширина</t>
  </si>
  <si>
    <t xml:space="preserve">Левый нижний угол квадрата 8: x</t>
  </si>
  <si>
    <t xml:space="preserve">Левый нижний угол квадрата 8: y</t>
  </si>
  <si>
    <t xml:space="preserve">Левая ось здания (центр в центре квадрата 8)</t>
  </si>
  <si>
    <t xml:space="preserve">X0</t>
  </si>
  <si>
    <t xml:space="preserve">Нижняя ось здания</t>
  </si>
  <si>
    <t xml:space="preserve">Y0</t>
  </si>
  <si>
    <t xml:space="preserve">Привязки от осей здания</t>
  </si>
  <si>
    <t xml:space="preserve">Ось → наружная грань стены</t>
  </si>
  <si>
    <t xml:space="preserve">Ось → край фундаментной плиты</t>
  </si>
  <si>
    <t xml:space="preserve">A</t>
  </si>
  <si>
    <t xml:space="preserve">Ось → край бетонной подготовки</t>
  </si>
  <si>
    <t xml:space="preserve">Ось → низ откоса (подошва котлована)</t>
  </si>
  <si>
    <t xml:space="preserve">Рабочая зона от плиты до откоса</t>
  </si>
  <si>
    <t xml:space="preserve">C</t>
  </si>
  <si>
    <t xml:space="preserve">не менее 0,6 м</t>
  </si>
  <si>
    <t xml:space="preserve">Положение котлована относительно ЛНР</t>
  </si>
  <si>
    <t xml:space="preserve">Крутизна откоса при Нк (предварительно)</t>
  </si>
  <si>
    <t xml:space="preserve">m0</t>
  </si>
  <si>
    <t xml:space="preserve">прил. 3, супесь: до 1,5 — 0,25; до 3 — 0,67; до 5 — 0,85</t>
  </si>
  <si>
    <t xml:space="preserve">Ось → бровка (предварительно)</t>
  </si>
  <si>
    <t xml:space="preserve">Среднее рабочих отметок по углам котлована</t>
  </si>
  <si>
    <t xml:space="preserve">hср.углов</t>
  </si>
  <si>
    <t xml:space="preserve">таблица углов ниже; «+» — насыпь</t>
  </si>
  <si>
    <t xml:space="preserve">Котлован в зоне</t>
  </si>
  <si>
    <t xml:space="preserve">вариант 2: ЛНР пересекает котлован</t>
  </si>
  <si>
    <t xml:space="preserve">Рабочая отметка в центре котлована (центр квадрата 8)</t>
  </si>
  <si>
    <t xml:space="preserve">hр</t>
  </si>
  <si>
    <t xml:space="preserve">билинейно; в центре квадрата = среднее h9, h10, h15, h16</t>
  </si>
  <si>
    <t xml:space="preserve">Фактическая глубина от естественной поверхности</t>
  </si>
  <si>
    <t xml:space="preserve">hк</t>
  </si>
  <si>
    <t xml:space="preserve">hк = Нк − hр (котлован в насыпи)</t>
  </si>
  <si>
    <t xml:space="preserve">Откосы и контуры</t>
  </si>
  <si>
    <t xml:space="preserve">Коэффициент откоса (супесь)</t>
  </si>
  <si>
    <t xml:space="preserve">m</t>
  </si>
  <si>
    <t xml:space="preserve">прил. 3</t>
  </si>
  <si>
    <t xml:space="preserve">Заложение откоса</t>
  </si>
  <si>
    <t xml:space="preserve">l</t>
  </si>
  <si>
    <t xml:space="preserve">l = hк · m</t>
  </si>
  <si>
    <t xml:space="preserve">Низ котлована: длина</t>
  </si>
  <si>
    <t xml:space="preserve">Низ котлована: ширина</t>
  </si>
  <si>
    <t xml:space="preserve">Площадь по низу</t>
  </si>
  <si>
    <t xml:space="preserve">Fк.н</t>
  </si>
  <si>
    <t xml:space="preserve">м²</t>
  </si>
  <si>
    <t xml:space="preserve">Г-образный контур: L·B − вырез 42 × 12</t>
  </si>
  <si>
    <t xml:space="preserve">Верх котлована: длина</t>
  </si>
  <si>
    <t xml:space="preserve">Верх котлована: ширина</t>
  </si>
  <si>
    <t xml:space="preserve">Площадь по верху</t>
  </si>
  <si>
    <t xml:space="preserve">Fк.в</t>
  </si>
  <si>
    <t xml:space="preserve">Площадь по наружному контуру стен</t>
  </si>
  <si>
    <t xml:space="preserve">Fк.с.п</t>
  </si>
  <si>
    <t xml:space="preserve">Площадь фундаментной плиты</t>
  </si>
  <si>
    <t xml:space="preserve">Fф.п</t>
  </si>
  <si>
    <t xml:space="preserve">Площадь бетонной подготовки</t>
  </si>
  <si>
    <t xml:space="preserve">Fб.п</t>
  </si>
  <si>
    <t xml:space="preserve">Пандус (принято: однополосный въезд автосамосвалов)</t>
  </si>
  <si>
    <t xml:space="preserve">Ширина пандуса</t>
  </si>
  <si>
    <t xml:space="preserve">bп</t>
  </si>
  <si>
    <t xml:space="preserve">3 м — один проезд, 6 м — два</t>
  </si>
  <si>
    <t xml:space="preserve">Уклон пандуса</t>
  </si>
  <si>
    <t xml:space="preserve">i</t>
  </si>
  <si>
    <t xml:space="preserve">0,10–0,15 при вывозе самосвалами</t>
  </si>
  <si>
    <t xml:space="preserve">Коэффициент заложения пандуса</t>
  </si>
  <si>
    <t xml:space="preserve">n</t>
  </si>
  <si>
    <t xml:space="preserve">n = 1 / i</t>
  </si>
  <si>
    <t xml:space="preserve">Длина пандуса в плане</t>
  </si>
  <si>
    <t xml:space="preserve">Объём пандуса</t>
  </si>
  <si>
    <t xml:space="preserve">Vпан</t>
  </si>
  <si>
    <t xml:space="preserve">м³</t>
  </si>
  <si>
    <t xml:space="preserve">n·(bп·hк²/2 + m·hк³/3)</t>
  </si>
  <si>
    <t xml:space="preserve">Объёмы</t>
  </si>
  <si>
    <t xml:space="preserve">Котлован без пандуса</t>
  </si>
  <si>
    <t xml:space="preserve">hк/3·(Fк.н + Fк.в + √(Fк.н·Fк.в))</t>
  </si>
  <si>
    <t xml:space="preserve">Объём котлована</t>
  </si>
  <si>
    <t xml:space="preserve">Vк</t>
  </si>
  <si>
    <t xml:space="preserve">Подсыпка</t>
  </si>
  <si>
    <t xml:space="preserve">Vподс</t>
  </si>
  <si>
    <t xml:space="preserve">Fк.н · hподс</t>
  </si>
  <si>
    <t xml:space="preserve">Бетонная подготовка</t>
  </si>
  <si>
    <t xml:space="preserve">Vб.п</t>
  </si>
  <si>
    <t xml:space="preserve">Fб.п · hб.п</t>
  </si>
  <si>
    <t xml:space="preserve">Гидроизоляция</t>
  </si>
  <si>
    <t xml:space="preserve">Vг.и</t>
  </si>
  <si>
    <t xml:space="preserve">2 слоя рулонной, толщина в задании не дана</t>
  </si>
  <si>
    <t xml:space="preserve">Защитная стяжка</t>
  </si>
  <si>
    <t xml:space="preserve">Vст</t>
  </si>
  <si>
    <t xml:space="preserve">в задании нет</t>
  </si>
  <si>
    <t xml:space="preserve">Фундаментная плита</t>
  </si>
  <si>
    <t xml:space="preserve">Vф.п</t>
  </si>
  <si>
    <t xml:space="preserve">Fф.п · Нф.п</t>
  </si>
  <si>
    <t xml:space="preserve">Высота стен ниже естественной поверхности</t>
  </si>
  <si>
    <t xml:space="preserve">hк − Нф.п − hб.п − hподс</t>
  </si>
  <si>
    <t xml:space="preserve">Стены подвала по наружному контуру</t>
  </si>
  <si>
    <t xml:space="preserve">Vк.с.п</t>
  </si>
  <si>
    <t xml:space="preserve">Подземная часть здания</t>
  </si>
  <si>
    <t xml:space="preserve">Vп.ч</t>
  </si>
  <si>
    <t xml:space="preserve">Vф.п + Vк.с.п</t>
  </si>
  <si>
    <t xml:space="preserve">Обратная засыпка</t>
  </si>
  <si>
    <t xml:space="preserve">Vо.з</t>
  </si>
  <si>
    <t xml:space="preserve">Vк − Vп.ч − Vподс − Vб.п − Vг.и − Vст</t>
  </si>
  <si>
    <t xml:space="preserve">Рабочие отметки по углам котлована (бровка при Нк), билинейная интерполяция в квадрате 8</t>
  </si>
  <si>
    <t xml:space="preserve">Угол</t>
  </si>
  <si>
    <t xml:space="preserve">x отн. осей</t>
  </si>
  <si>
    <t xml:space="preserve">y отн. осей</t>
  </si>
  <si>
    <t xml:space="preserve">X, м</t>
  </si>
  <si>
    <t xml:space="preserve">Y, м</t>
  </si>
  <si>
    <t xml:space="preserve">u</t>
  </si>
  <si>
    <t xml:space="preserve">v</t>
  </si>
  <si>
    <t xml:space="preserve">Вершины квадрата 8: h15 — левый нижний, h16 — правый нижний, h9 — левый верхний, h10 — правый верхний. Отметки разного знака — котлован пересекает ЛНР.</t>
  </si>
  <si>
    <t xml:space="preserve">Сводная ведомость объёмов разрабатываемого грунта (табл. 2 методички)</t>
  </si>
  <si>
    <t xml:space="preserve">До корректировки средней отметки планировки</t>
  </si>
  <si>
    <t xml:space="preserve">№</t>
  </si>
  <si>
    <t xml:space="preserve">Вид работы</t>
  </si>
  <si>
    <t xml:space="preserve">Выемка Vв, м³</t>
  </si>
  <si>
    <t xml:space="preserve">Насыпь Vн, м³</t>
  </si>
  <si>
    <t xml:space="preserve">Vн / Kор, м³</t>
  </si>
  <si>
    <t xml:space="preserve">В призмах (планировка)</t>
  </si>
  <si>
    <t xml:space="preserve">В котловане (Vк; обратная засыпка Vо.з)</t>
  </si>
  <si>
    <t xml:space="preserve">Суммарные объёмы</t>
  </si>
  <si>
    <t xml:space="preserve">Баланс Vв − Vн/Kор («−» — грунта не хватает)</t>
  </si>
  <si>
    <t xml:space="preserve">Расхождение, % (допускается не более 5 %)</t>
  </si>
  <si>
    <t xml:space="preserve">Вывод</t>
  </si>
  <si>
    <t xml:space="preserve">Площадь площадки Fпл без котлована по верху (котлован в насыпи), м²</t>
  </si>
  <si>
    <t xml:space="preserve">Поправка Δh = (Vв − Vн/Kор) / Fпл, м («−» — понижение)</t>
  </si>
  <si>
    <t xml:space="preserve">Δh — к следующему этапу: все рабочие отметки сдвигаются на Δh, заново строится ЛНР и пересчитываются объёмы и котлован.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</si>
</sst>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0"/>
    <numFmt numFmtId="167" formatCode="0.0%"/>
    <numFmt numFmtId="168" formatCode="0.0"/>
    <numFmt numFmtId="169" formatCode="0"/>
    <numFmt numFmtId="170" formatCode="0.0000"/>
    <numFmt numFmtId="171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GOST type B"/>
      <family val="0"/>
      <charset val="1"/>
    </font>
    <font>
      <sz val="12"/>
      <name val="GOST type B"/>
      <family val="0"/>
      <charset val="1"/>
    </font>
    <font>
      <sz val="12"/>
      <color rgb="FF0000FF"/>
      <name val="GOST type B"/>
      <family val="0"/>
      <charset val="1"/>
    </font>
    <font>
      <i val="true"/>
      <sz val="11"/>
      <name val="GOST type B"/>
      <family val="0"/>
      <charset val="1"/>
    </font>
    <font>
      <b val="true"/>
      <sz val="12"/>
      <name val="GOST type B"/>
      <family val="0"/>
      <charset val="1"/>
    </font>
    <font>
      <sz val="9"/>
      <color rgb="FF808080"/>
      <name val="GOST type B"/>
      <family val="0"/>
      <charset val="1"/>
    </font>
    <font>
      <sz val="10"/>
      <name val="Arial"/>
      <family val="2"/>
    </font>
    <font>
      <i val="true"/>
      <sz val="12"/>
      <name val="GOST type B"/>
      <family val="0"/>
      <charset val="1"/>
    </font>
    <font>
      <sz val="12"/>
      <color rgb="FF008000"/>
      <name val="GOST type B"/>
      <family val="0"/>
      <charset val="1"/>
    </font>
    <font>
      <i val="true"/>
      <sz val="10"/>
      <name val="GOST type B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9" min="4" style="0" width="9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100</v>
      </c>
      <c r="D3" s="4" t="s">
        <v>2</v>
      </c>
    </row>
    <row r="4" customFormat="false" ht="15" hidden="false" customHeight="false" outlineLevel="0" collapsed="false">
      <c r="A4" s="2" t="s">
        <v>3</v>
      </c>
      <c r="B4" s="5" t="n">
        <v>1.04</v>
      </c>
      <c r="D4" s="4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  <c r="D5" s="4" t="s">
        <v>7</v>
      </c>
    </row>
    <row r="6" customFormat="false" ht="15" hidden="false" customHeight="false" outlineLevel="0" collapsed="false">
      <c r="A6" s="2" t="s">
        <v>8</v>
      </c>
      <c r="B6" s="3" t="n">
        <v>15</v>
      </c>
    </row>
    <row r="8" customFormat="false" ht="15" hidden="false" customHeight="false" outlineLevel="0" collapsed="false">
      <c r="A8" s="6" t="s">
        <v>9</v>
      </c>
      <c r="B8" s="6" t="s">
        <v>10</v>
      </c>
      <c r="D8" s="7" t="s">
        <v>11</v>
      </c>
    </row>
    <row r="9" customFormat="false" ht="15" hidden="false" customHeight="false" outlineLevel="0" collapsed="false">
      <c r="A9" s="8" t="s">
        <v>12</v>
      </c>
      <c r="B9" s="9" t="n">
        <v>-0.25</v>
      </c>
      <c r="D9" s="10" t="s">
        <v>12</v>
      </c>
      <c r="E9" s="10" t="s">
        <v>13</v>
      </c>
      <c r="F9" s="10" t="s">
        <v>14</v>
      </c>
      <c r="G9" s="10" t="s">
        <v>15</v>
      </c>
      <c r="H9" s="10" t="s">
        <v>16</v>
      </c>
      <c r="I9" s="10" t="s">
        <v>17</v>
      </c>
    </row>
    <row r="10" customFormat="false" ht="15" hidden="false" customHeight="false" outlineLevel="0" collapsed="false">
      <c r="A10" s="8" t="s">
        <v>13</v>
      </c>
      <c r="B10" s="9" t="n">
        <v>0.15</v>
      </c>
      <c r="D10" s="11" t="n">
        <f aca="false">B9</f>
        <v>-0.25</v>
      </c>
      <c r="E10" s="11" t="n">
        <f aca="false">B10</f>
        <v>0.15</v>
      </c>
      <c r="F10" s="11" t="n">
        <f aca="false">B11</f>
        <v>0.34</v>
      </c>
      <c r="G10" s="11" t="n">
        <f aca="false">B12</f>
        <v>0.47</v>
      </c>
      <c r="H10" s="11" t="n">
        <f aca="false">B13</f>
        <v>0.66</v>
      </c>
      <c r="I10" s="11" t="n">
        <f aca="false">B14</f>
        <v>0.85</v>
      </c>
    </row>
    <row r="11" customFormat="false" ht="15" hidden="false" customHeight="false" outlineLevel="0" collapsed="false">
      <c r="A11" s="8" t="s">
        <v>14</v>
      </c>
      <c r="B11" s="9" t="n">
        <v>0.34</v>
      </c>
      <c r="D11" s="10" t="s">
        <v>18</v>
      </c>
      <c r="E11" s="10" t="s">
        <v>19</v>
      </c>
      <c r="F11" s="10" t="s">
        <v>20</v>
      </c>
      <c r="G11" s="10" t="s">
        <v>21</v>
      </c>
      <c r="H11" s="10" t="s">
        <v>22</v>
      </c>
      <c r="I11" s="10" t="s">
        <v>23</v>
      </c>
    </row>
    <row r="12" customFormat="false" ht="15" hidden="false" customHeight="false" outlineLevel="0" collapsed="false">
      <c r="A12" s="8" t="s">
        <v>15</v>
      </c>
      <c r="B12" s="9" t="n">
        <v>0.47</v>
      </c>
      <c r="D12" s="11" t="n">
        <f aca="false">B15</f>
        <v>-0.49</v>
      </c>
      <c r="E12" s="11" t="n">
        <f aca="false">B16</f>
        <v>-0.31</v>
      </c>
      <c r="F12" s="11" t="n">
        <f aca="false">B17</f>
        <v>0.28</v>
      </c>
      <c r="G12" s="11" t="n">
        <f aca="false">B18</f>
        <v>0.52</v>
      </c>
      <c r="H12" s="11" t="n">
        <f aca="false">B19</f>
        <v>0.84</v>
      </c>
      <c r="I12" s="11" t="n">
        <f aca="false">B20</f>
        <v>0.47</v>
      </c>
    </row>
    <row r="13" customFormat="false" ht="15" hidden="false" customHeight="false" outlineLevel="0" collapsed="false">
      <c r="A13" s="8" t="s">
        <v>16</v>
      </c>
      <c r="B13" s="9" t="n">
        <v>0.66</v>
      </c>
      <c r="D13" s="10" t="s">
        <v>24</v>
      </c>
      <c r="E13" s="10" t="s">
        <v>25</v>
      </c>
      <c r="F13" s="10" t="s">
        <v>26</v>
      </c>
      <c r="G13" s="10" t="s">
        <v>27</v>
      </c>
      <c r="H13" s="10" t="s">
        <v>28</v>
      </c>
      <c r="I13" s="10" t="s">
        <v>29</v>
      </c>
    </row>
    <row r="14" customFormat="false" ht="15" hidden="false" customHeight="false" outlineLevel="0" collapsed="false">
      <c r="A14" s="8" t="s">
        <v>17</v>
      </c>
      <c r="B14" s="9" t="n">
        <v>0.85</v>
      </c>
      <c r="D14" s="11" t="n">
        <f aca="false">B21</f>
        <v>-0.24</v>
      </c>
      <c r="E14" s="11" t="n">
        <f aca="false">B22</f>
        <v>-0.43</v>
      </c>
      <c r="F14" s="11" t="n">
        <f aca="false">B23</f>
        <v>-0.28</v>
      </c>
      <c r="G14" s="11" t="n">
        <f aca="false">B24</f>
        <v>0.14</v>
      </c>
      <c r="H14" s="11" t="n">
        <f aca="false">B25</f>
        <v>0.36</v>
      </c>
      <c r="I14" s="11" t="n">
        <f aca="false">B26</f>
        <v>0.76</v>
      </c>
    </row>
    <row r="15" customFormat="false" ht="15" hidden="false" customHeight="false" outlineLevel="0" collapsed="false">
      <c r="A15" s="8" t="s">
        <v>18</v>
      </c>
      <c r="B15" s="9" t="n">
        <v>-0.49</v>
      </c>
      <c r="D15" s="10" t="s">
        <v>30</v>
      </c>
      <c r="E15" s="10" t="s">
        <v>31</v>
      </c>
      <c r="F15" s="10" t="s">
        <v>32</v>
      </c>
      <c r="G15" s="10" t="s">
        <v>33</v>
      </c>
      <c r="H15" s="10" t="s">
        <v>34</v>
      </c>
      <c r="I15" s="10" t="s">
        <v>35</v>
      </c>
    </row>
    <row r="16" customFormat="false" ht="15" hidden="false" customHeight="false" outlineLevel="0" collapsed="false">
      <c r="A16" s="8" t="s">
        <v>19</v>
      </c>
      <c r="B16" s="9" t="n">
        <v>-0.31</v>
      </c>
      <c r="D16" s="11" t="n">
        <f aca="false">B27</f>
        <v>-0.4</v>
      </c>
      <c r="E16" s="11" t="n">
        <f aca="false">B28</f>
        <v>-0.65</v>
      </c>
      <c r="F16" s="11" t="n">
        <f aca="false">B29</f>
        <v>-0.52</v>
      </c>
      <c r="G16" s="11" t="n">
        <f aca="false">B30</f>
        <v>-0.28</v>
      </c>
      <c r="H16" s="11" t="n">
        <f aca="false">B31</f>
        <v>-0.43</v>
      </c>
      <c r="I16" s="11" t="n">
        <f aca="false">B32</f>
        <v>0.14</v>
      </c>
    </row>
    <row r="17" customFormat="false" ht="15" hidden="false" customHeight="false" outlineLevel="0" collapsed="false">
      <c r="A17" s="8" t="s">
        <v>20</v>
      </c>
      <c r="B17" s="9" t="n">
        <v>0.28</v>
      </c>
    </row>
    <row r="18" customFormat="false" ht="15" hidden="false" customHeight="false" outlineLevel="0" collapsed="false">
      <c r="A18" s="8" t="s">
        <v>21</v>
      </c>
      <c r="B18" s="9" t="n">
        <v>0.52</v>
      </c>
    </row>
    <row r="19" customFormat="false" ht="15" hidden="false" customHeight="false" outlineLevel="0" collapsed="false">
      <c r="A19" s="8" t="s">
        <v>22</v>
      </c>
      <c r="B19" s="9" t="n">
        <v>0.84</v>
      </c>
    </row>
    <row r="20" customFormat="false" ht="15" hidden="false" customHeight="false" outlineLevel="0" collapsed="false">
      <c r="A20" s="8" t="s">
        <v>23</v>
      </c>
      <c r="B20" s="9" t="n">
        <v>0.47</v>
      </c>
    </row>
    <row r="21" customFormat="false" ht="15" hidden="false" customHeight="false" outlineLevel="0" collapsed="false">
      <c r="A21" s="8" t="s">
        <v>24</v>
      </c>
      <c r="B21" s="9" t="n">
        <v>-0.24</v>
      </c>
    </row>
    <row r="22" customFormat="false" ht="15" hidden="false" customHeight="false" outlineLevel="0" collapsed="false">
      <c r="A22" s="8" t="s">
        <v>25</v>
      </c>
      <c r="B22" s="9" t="n">
        <v>-0.43</v>
      </c>
    </row>
    <row r="23" customFormat="false" ht="15" hidden="false" customHeight="false" outlineLevel="0" collapsed="false">
      <c r="A23" s="8" t="s">
        <v>26</v>
      </c>
      <c r="B23" s="9" t="n">
        <v>-0.28</v>
      </c>
    </row>
    <row r="24" customFormat="false" ht="15" hidden="false" customHeight="false" outlineLevel="0" collapsed="false">
      <c r="A24" s="8" t="s">
        <v>27</v>
      </c>
      <c r="B24" s="9" t="n">
        <v>0.14</v>
      </c>
    </row>
    <row r="25" customFormat="false" ht="15" hidden="false" customHeight="false" outlineLevel="0" collapsed="false">
      <c r="A25" s="8" t="s">
        <v>28</v>
      </c>
      <c r="B25" s="9" t="n">
        <v>0.36</v>
      </c>
    </row>
    <row r="26" customFormat="false" ht="15" hidden="false" customHeight="false" outlineLevel="0" collapsed="false">
      <c r="A26" s="8" t="s">
        <v>29</v>
      </c>
      <c r="B26" s="9" t="n">
        <v>0.76</v>
      </c>
    </row>
    <row r="27" customFormat="false" ht="15" hidden="false" customHeight="false" outlineLevel="0" collapsed="false">
      <c r="A27" s="8" t="s">
        <v>30</v>
      </c>
      <c r="B27" s="9" t="n">
        <v>-0.4</v>
      </c>
    </row>
    <row r="28" customFormat="false" ht="15" hidden="false" customHeight="false" outlineLevel="0" collapsed="false">
      <c r="A28" s="8" t="s">
        <v>31</v>
      </c>
      <c r="B28" s="9" t="n">
        <v>-0.65</v>
      </c>
    </row>
    <row r="29" customFormat="false" ht="15" hidden="false" customHeight="false" outlineLevel="0" collapsed="false">
      <c r="A29" s="8" t="s">
        <v>32</v>
      </c>
      <c r="B29" s="9" t="n">
        <v>-0.52</v>
      </c>
    </row>
    <row r="30" customFormat="false" ht="15" hidden="false" customHeight="false" outlineLevel="0" collapsed="false">
      <c r="A30" s="8" t="s">
        <v>33</v>
      </c>
      <c r="B30" s="9" t="n">
        <v>-0.28</v>
      </c>
    </row>
    <row r="31" customFormat="false" ht="15" hidden="false" customHeight="false" outlineLevel="0" collapsed="false">
      <c r="A31" s="8" t="s">
        <v>34</v>
      </c>
      <c r="B31" s="9" t="n">
        <v>-0.43</v>
      </c>
    </row>
    <row r="32" customFormat="false" ht="15" hidden="false" customHeight="false" outlineLevel="0" collapsed="false">
      <c r="A32" s="8" t="s">
        <v>35</v>
      </c>
      <c r="B32" s="9" t="n">
        <v>0.14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8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12" t="s">
        <v>37</v>
      </c>
    </row>
    <row r="4" customFormat="false" ht="29.85" hidden="false" customHeight="false" outlineLevel="0" collapsed="false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</row>
    <row r="5" customFormat="false" ht="15" hidden="false" customHeight="false" outlineLevel="0" collapsed="false">
      <c r="A5" s="8" t="n">
        <v>1</v>
      </c>
      <c r="B5" s="8" t="s">
        <v>46</v>
      </c>
      <c r="C5" s="8" t="s">
        <v>12</v>
      </c>
      <c r="D5" s="13" t="n">
        <f aca="false">'Исходные данные'!$B$9</f>
        <v>-0.25</v>
      </c>
      <c r="E5" s="8" t="s">
        <v>13</v>
      </c>
      <c r="F5" s="13" t="n">
        <f aca="false">'Исходные данные'!$B$10</f>
        <v>0.15</v>
      </c>
      <c r="G5" s="11" t="n">
        <f aca="false">'Исходные данные'!$B$3*ABS(D5)/(ABS(D5)+ABS(F5))</f>
        <v>62.5</v>
      </c>
      <c r="H5" s="11" t="n">
        <f aca="false">'Исходные данные'!$B$3-G5</f>
        <v>37.5</v>
      </c>
    </row>
    <row r="6" customFormat="false" ht="15" hidden="false" customHeight="false" outlineLevel="0" collapsed="false">
      <c r="A6" s="8" t="n">
        <v>2</v>
      </c>
      <c r="B6" s="8" t="s">
        <v>47</v>
      </c>
      <c r="C6" s="8" t="s">
        <v>13</v>
      </c>
      <c r="D6" s="13" t="n">
        <f aca="false">'Исходные данные'!$B$10</f>
        <v>0.15</v>
      </c>
      <c r="E6" s="8" t="s">
        <v>19</v>
      </c>
      <c r="F6" s="13" t="n">
        <f aca="false">'Исходные данные'!$B$16</f>
        <v>-0.31</v>
      </c>
      <c r="G6" s="11" t="n">
        <f aca="false">'Исходные данные'!$B$3*ABS(D6)/(ABS(D6)+ABS(F6))</f>
        <v>32.6086956521739</v>
      </c>
      <c r="H6" s="11" t="n">
        <f aca="false">'Исходные данные'!$B$3-G6</f>
        <v>67.3913043478261</v>
      </c>
    </row>
    <row r="7" customFormat="false" ht="15" hidden="false" customHeight="false" outlineLevel="0" collapsed="false">
      <c r="A7" s="8" t="n">
        <v>3</v>
      </c>
      <c r="B7" s="8" t="s">
        <v>46</v>
      </c>
      <c r="C7" s="8" t="s">
        <v>19</v>
      </c>
      <c r="D7" s="13" t="n">
        <f aca="false">'Исходные данные'!$B$16</f>
        <v>-0.31</v>
      </c>
      <c r="E7" s="8" t="s">
        <v>20</v>
      </c>
      <c r="F7" s="13" t="n">
        <f aca="false">'Исходные данные'!$B$17</f>
        <v>0.28</v>
      </c>
      <c r="G7" s="11" t="n">
        <f aca="false">'Исходные данные'!$B$3*ABS(D7)/(ABS(D7)+ABS(F7))</f>
        <v>52.5423728813559</v>
      </c>
      <c r="H7" s="11" t="n">
        <f aca="false">'Исходные данные'!$B$3-G7</f>
        <v>47.4576271186441</v>
      </c>
    </row>
    <row r="8" customFormat="false" ht="15" hidden="false" customHeight="false" outlineLevel="0" collapsed="false">
      <c r="A8" s="8" t="n">
        <v>4</v>
      </c>
      <c r="B8" s="8" t="s">
        <v>47</v>
      </c>
      <c r="C8" s="8" t="s">
        <v>20</v>
      </c>
      <c r="D8" s="13" t="n">
        <f aca="false">'Исходные данные'!$B$17</f>
        <v>0.28</v>
      </c>
      <c r="E8" s="8" t="s">
        <v>26</v>
      </c>
      <c r="F8" s="13" t="n">
        <f aca="false">'Исходные данные'!$B$23</f>
        <v>-0.28</v>
      </c>
      <c r="G8" s="11" t="n">
        <f aca="false">'Исходные данные'!$B$3*ABS(D8)/(ABS(D8)+ABS(F8))</f>
        <v>50</v>
      </c>
      <c r="H8" s="11" t="n">
        <f aca="false">'Исходные данные'!$B$3-G8</f>
        <v>50</v>
      </c>
    </row>
    <row r="9" customFormat="false" ht="15" hidden="false" customHeight="false" outlineLevel="0" collapsed="false">
      <c r="A9" s="8" t="n">
        <v>5</v>
      </c>
      <c r="B9" s="8" t="s">
        <v>46</v>
      </c>
      <c r="C9" s="8" t="s">
        <v>26</v>
      </c>
      <c r="D9" s="13" t="n">
        <f aca="false">'Исходные данные'!$B$23</f>
        <v>-0.28</v>
      </c>
      <c r="E9" s="8" t="s">
        <v>27</v>
      </c>
      <c r="F9" s="13" t="n">
        <f aca="false">'Исходные данные'!$B$24</f>
        <v>0.14</v>
      </c>
      <c r="G9" s="11" t="n">
        <f aca="false">'Исходные данные'!$B$3*ABS(D9)/(ABS(D9)+ABS(F9))</f>
        <v>66.6666666666667</v>
      </c>
      <c r="H9" s="11" t="n">
        <f aca="false">'Исходные данные'!$B$3-G9</f>
        <v>33.3333333333333</v>
      </c>
    </row>
    <row r="10" customFormat="false" ht="15" hidden="false" customHeight="false" outlineLevel="0" collapsed="false">
      <c r="A10" s="8" t="n">
        <v>6</v>
      </c>
      <c r="B10" s="8" t="s">
        <v>47</v>
      </c>
      <c r="C10" s="8" t="s">
        <v>27</v>
      </c>
      <c r="D10" s="13" t="n">
        <f aca="false">'Исходные данные'!$B$24</f>
        <v>0.14</v>
      </c>
      <c r="E10" s="8" t="s">
        <v>33</v>
      </c>
      <c r="F10" s="13" t="n">
        <f aca="false">'Исходные данные'!$B$30</f>
        <v>-0.28</v>
      </c>
      <c r="G10" s="11" t="n">
        <f aca="false">'Исходные данные'!$B$3*ABS(D10)/(ABS(D10)+ABS(F10))</f>
        <v>33.3333333333333</v>
      </c>
      <c r="H10" s="11" t="n">
        <f aca="false">'Исходные данные'!$B$3-G10</f>
        <v>66.6666666666667</v>
      </c>
    </row>
    <row r="11" customFormat="false" ht="15" hidden="false" customHeight="false" outlineLevel="0" collapsed="false">
      <c r="A11" s="8" t="n">
        <v>7</v>
      </c>
      <c r="B11" s="8" t="s">
        <v>47</v>
      </c>
      <c r="C11" s="8" t="s">
        <v>28</v>
      </c>
      <c r="D11" s="13" t="n">
        <f aca="false">'Исходные данные'!$B$25</f>
        <v>0.36</v>
      </c>
      <c r="E11" s="8" t="s">
        <v>34</v>
      </c>
      <c r="F11" s="13" t="n">
        <f aca="false">'Исходные данные'!$B$31</f>
        <v>-0.43</v>
      </c>
      <c r="G11" s="11" t="n">
        <f aca="false">'Исходные данные'!$B$3*ABS(D11)/(ABS(D11)+ABS(F11))</f>
        <v>45.5696202531646</v>
      </c>
      <c r="H11" s="11" t="n">
        <f aca="false">'Исходные данные'!$B$3-G11</f>
        <v>54.4303797468354</v>
      </c>
    </row>
    <row r="12" customFormat="false" ht="15" hidden="false" customHeight="false" outlineLevel="0" collapsed="false">
      <c r="A12" s="8" t="n">
        <v>8</v>
      </c>
      <c r="B12" s="8" t="s">
        <v>46</v>
      </c>
      <c r="C12" s="8" t="s">
        <v>34</v>
      </c>
      <c r="D12" s="13" t="n">
        <f aca="false">'Исходные данные'!$B$31</f>
        <v>-0.43</v>
      </c>
      <c r="E12" s="8" t="s">
        <v>35</v>
      </c>
      <c r="F12" s="13" t="n">
        <f aca="false">'Исходные данные'!$B$32</f>
        <v>0.14</v>
      </c>
      <c r="G12" s="11" t="n">
        <f aca="false">'Исходные данные'!$B$3*ABS(D12)/(ABS(D12)+ABS(F12))</f>
        <v>75.4385964912281</v>
      </c>
      <c r="H12" s="11" t="n">
        <f aca="false">'Исходные данные'!$B$3-G12</f>
        <v>24.5614035087719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12" t="s">
        <v>49</v>
      </c>
    </row>
    <row r="4" customFormat="false" ht="15" hidden="false" customHeight="true" outlineLevel="0" collapsed="false">
      <c r="A4" s="6" t="s">
        <v>50</v>
      </c>
      <c r="B4" s="6"/>
      <c r="C4" s="6"/>
      <c r="D4" s="6"/>
      <c r="E4" s="6" t="s">
        <v>51</v>
      </c>
      <c r="F4" s="6"/>
      <c r="G4" s="6"/>
      <c r="H4" s="6"/>
      <c r="I4" s="6"/>
    </row>
    <row r="5" customFormat="false" ht="31.5" hidden="false" customHeight="true" outlineLevel="0" collapsed="false">
      <c r="A5" s="6" t="s">
        <v>52</v>
      </c>
      <c r="B5" s="6" t="s">
        <v>53</v>
      </c>
      <c r="C5" s="6" t="s">
        <v>54</v>
      </c>
      <c r="D5" s="6" t="s">
        <v>55</v>
      </c>
      <c r="E5" s="6" t="s">
        <v>52</v>
      </c>
      <c r="F5" s="6" t="s">
        <v>53</v>
      </c>
      <c r="G5" s="6" t="s">
        <v>54</v>
      </c>
      <c r="H5" s="6" t="s">
        <v>55</v>
      </c>
      <c r="I5" s="6" t="s">
        <v>56</v>
      </c>
    </row>
    <row r="6" customFormat="false" ht="15" hidden="false" customHeight="false" outlineLevel="0" collapsed="false">
      <c r="A6" s="14" t="s">
        <v>57</v>
      </c>
      <c r="B6" s="11" t="n">
        <f aca="false">'Исходные данные'!$B$3^2-$F$6</f>
        <v>9388.58695652174</v>
      </c>
      <c r="C6" s="15" t="n">
        <f aca="false">(0+ABS('Исходные данные'!$B$9)+ABS('Исходные данные'!$B$15)+ABS('Исходные данные'!$B$16)+0)/5</f>
        <v>0.21</v>
      </c>
      <c r="D6" s="11" t="n">
        <f aca="false">B6*C6</f>
        <v>1971.60326086957</v>
      </c>
      <c r="E6" s="14" t="s">
        <v>58</v>
      </c>
      <c r="F6" s="11" t="n">
        <f aca="false">ЛНР!$G$6*ЛНР!$H$5/2</f>
        <v>611.413043478261</v>
      </c>
      <c r="G6" s="15" t="n">
        <f aca="false">(0+ABS('Исходные данные'!$B$10)+0)/3</f>
        <v>0.05</v>
      </c>
      <c r="H6" s="11" t="n">
        <f aca="false">F6*G6</f>
        <v>30.570652173913</v>
      </c>
      <c r="I6" s="11" t="n">
        <f aca="false">H6/'Исходные данные'!$B$4</f>
        <v>29.3948578595318</v>
      </c>
    </row>
    <row r="7" customFormat="false" ht="15" hidden="false" customHeight="false" outlineLevel="0" collapsed="false">
      <c r="A7" s="14" t="s">
        <v>59</v>
      </c>
      <c r="B7" s="11" t="n">
        <f aca="false">ЛНР!$H$6*ЛНР!$G$7/2</f>
        <v>1770.44952100221</v>
      </c>
      <c r="C7" s="15" t="n">
        <f aca="false">(0+ABS('Исходные данные'!$B$16)+0)/3</f>
        <v>0.103333333333333</v>
      </c>
      <c r="D7" s="11" t="n">
        <f aca="false">B7*C7</f>
        <v>182.946450503562</v>
      </c>
      <c r="E7" s="14" t="s">
        <v>60</v>
      </c>
      <c r="F7" s="11" t="n">
        <f aca="false">'Исходные данные'!$B$3^2-$B$7</f>
        <v>8229.55047899779</v>
      </c>
      <c r="G7" s="15" t="n">
        <f aca="false">(0+ABS('Исходные данные'!$B$17)+ABS('Исходные данные'!$B$11)+ABS('Исходные данные'!$B$10)+0)/5</f>
        <v>0.154</v>
      </c>
      <c r="H7" s="11" t="n">
        <f aca="false">F7*G7</f>
        <v>1267.35077376566</v>
      </c>
      <c r="I7" s="11" t="n">
        <f aca="false">H7/'Исходные данные'!$B$4</f>
        <v>1218.60651323621</v>
      </c>
    </row>
    <row r="8" customFormat="false" ht="15" hidden="false" customHeight="false" outlineLevel="0" collapsed="false">
      <c r="A8" s="8" t="s">
        <v>61</v>
      </c>
      <c r="B8" s="8" t="s">
        <v>61</v>
      </c>
      <c r="C8" s="8" t="s">
        <v>61</v>
      </c>
      <c r="D8" s="8" t="s">
        <v>61</v>
      </c>
      <c r="E8" s="14" t="s">
        <v>62</v>
      </c>
      <c r="F8" s="11" t="n">
        <f aca="false">'Исходные данные'!$B$3^2</f>
        <v>10000</v>
      </c>
      <c r="G8" s="15" t="n">
        <f aca="false">(ABS('Исходные данные'!$B$17)+ABS('Исходные данные'!$B$18)+ABS('Исходные данные'!$B$12)+ABS('Исходные данные'!$B$11))/4</f>
        <v>0.4025</v>
      </c>
      <c r="H8" s="11" t="n">
        <f aca="false">F8*G8</f>
        <v>4025</v>
      </c>
      <c r="I8" s="11" t="n">
        <f aca="false">H8/'Исходные данные'!$B$4</f>
        <v>3870.19230769231</v>
      </c>
    </row>
    <row r="9" customFormat="false" ht="15" hidden="false" customHeight="false" outlineLevel="0" collapsed="false">
      <c r="A9" s="8" t="s">
        <v>61</v>
      </c>
      <c r="B9" s="8" t="s">
        <v>61</v>
      </c>
      <c r="C9" s="8" t="s">
        <v>61</v>
      </c>
      <c r="D9" s="8" t="s">
        <v>61</v>
      </c>
      <c r="E9" s="14" t="s">
        <v>63</v>
      </c>
      <c r="F9" s="11" t="n">
        <f aca="false">'Исходные данные'!$B$3^2</f>
        <v>10000</v>
      </c>
      <c r="G9" s="15" t="n">
        <f aca="false">(ABS('Исходные данные'!$B$18)+ABS('Исходные данные'!$B$19)+ABS('Исходные данные'!$B$13)+ABS('Исходные данные'!$B$12))/4</f>
        <v>0.6225</v>
      </c>
      <c r="H9" s="11" t="n">
        <f aca="false">F9*G9</f>
        <v>6225</v>
      </c>
      <c r="I9" s="11" t="n">
        <f aca="false">H9/'Исходные данные'!$B$4</f>
        <v>5985.57692307692</v>
      </c>
    </row>
    <row r="10" customFormat="false" ht="15" hidden="false" customHeight="false" outlineLevel="0" collapsed="false">
      <c r="A10" s="8" t="s">
        <v>61</v>
      </c>
      <c r="B10" s="8" t="s">
        <v>61</v>
      </c>
      <c r="C10" s="8" t="s">
        <v>61</v>
      </c>
      <c r="D10" s="8" t="s">
        <v>61</v>
      </c>
      <c r="E10" s="14" t="s">
        <v>64</v>
      </c>
      <c r="F10" s="11" t="n">
        <f aca="false">'Исходные данные'!$B$3^2</f>
        <v>10000</v>
      </c>
      <c r="G10" s="15" t="n">
        <f aca="false">(ABS('Исходные данные'!$B$19)+ABS('Исходные данные'!$B$20)+ABS('Исходные данные'!$B$14)+ABS('Исходные данные'!$B$13))/4</f>
        <v>0.705</v>
      </c>
      <c r="H10" s="11" t="n">
        <f aca="false">F10*G10</f>
        <v>7050</v>
      </c>
      <c r="I10" s="11" t="n">
        <f aca="false">H10/'Исходные данные'!$B$4</f>
        <v>6778.84615384615</v>
      </c>
    </row>
    <row r="11" customFormat="false" ht="15" hidden="false" customHeight="false" outlineLevel="0" collapsed="false">
      <c r="A11" s="14" t="s">
        <v>65</v>
      </c>
      <c r="B11" s="11" t="n">
        <f aca="false">'Исходные данные'!$B$3^2</f>
        <v>10000</v>
      </c>
      <c r="C11" s="15" t="n">
        <f aca="false">(ABS('Исходные данные'!$B$21)+ABS('Исходные данные'!$B$22)+ABS('Исходные данные'!$B$16)+ABS('Исходные данные'!$B$15))/4</f>
        <v>0.3675</v>
      </c>
      <c r="D11" s="11" t="n">
        <f aca="false">B11*C11</f>
        <v>3675</v>
      </c>
      <c r="E11" s="8" t="s">
        <v>61</v>
      </c>
      <c r="F11" s="8" t="s">
        <v>61</v>
      </c>
      <c r="G11" s="8" t="s">
        <v>61</v>
      </c>
      <c r="H11" s="8" t="s">
        <v>61</v>
      </c>
      <c r="I11" s="8" t="s">
        <v>61</v>
      </c>
    </row>
    <row r="12" customFormat="false" ht="15" hidden="false" customHeight="false" outlineLevel="0" collapsed="false">
      <c r="A12" s="14" t="s">
        <v>66</v>
      </c>
      <c r="B12" s="11" t="n">
        <f aca="false">'Исходные данные'!$B$3^2-$F$12</f>
        <v>8813.5593220339</v>
      </c>
      <c r="C12" s="15" t="n">
        <f aca="false">(0+ABS('Исходные данные'!$B$16)+ABS('Исходные данные'!$B$22)+ABS('Исходные данные'!$B$23)+0)/5</f>
        <v>0.204</v>
      </c>
      <c r="D12" s="11" t="n">
        <f aca="false">B12*C12</f>
        <v>1797.96610169492</v>
      </c>
      <c r="E12" s="14" t="s">
        <v>67</v>
      </c>
      <c r="F12" s="11" t="n">
        <f aca="false">ЛНР!$G$8*ЛНР!$H$7/2</f>
        <v>1186.4406779661</v>
      </c>
      <c r="G12" s="15" t="n">
        <f aca="false">(0+ABS('Исходные данные'!$B$17)+0)/3</f>
        <v>0.0933333333333333</v>
      </c>
      <c r="H12" s="11" t="n">
        <f aca="false">F12*G12</f>
        <v>110.734463276836</v>
      </c>
      <c r="I12" s="11" t="n">
        <f aca="false">H12/'Исходные данные'!$B$4</f>
        <v>106.475445458496</v>
      </c>
    </row>
    <row r="13" customFormat="false" ht="15" hidden="false" customHeight="false" outlineLevel="0" collapsed="false">
      <c r="A13" s="14" t="s">
        <v>68</v>
      </c>
      <c r="B13" s="11" t="n">
        <f aca="false">ЛНР!$H$8*ЛНР!$G$9/2</f>
        <v>1666.66666666667</v>
      </c>
      <c r="C13" s="15" t="n">
        <f aca="false">(0+ABS('Исходные данные'!$B$23)+0)/3</f>
        <v>0.0933333333333333</v>
      </c>
      <c r="D13" s="11" t="n">
        <f aca="false">B13*C13</f>
        <v>155.555555555556</v>
      </c>
      <c r="E13" s="14" t="s">
        <v>69</v>
      </c>
      <c r="F13" s="11" t="n">
        <f aca="false">'Исходные данные'!$B$3^2-$B$13</f>
        <v>8333.33333333333</v>
      </c>
      <c r="G13" s="15" t="n">
        <f aca="false">(0+ABS('Исходные данные'!$B$24)+ABS('Исходные данные'!$B$18)+ABS('Исходные данные'!$B$17)+0)/5</f>
        <v>0.188</v>
      </c>
      <c r="H13" s="11" t="n">
        <f aca="false">F13*G13</f>
        <v>1566.66666666667</v>
      </c>
      <c r="I13" s="11" t="n">
        <f aca="false">H13/'Исходные данные'!$B$4</f>
        <v>1506.41025641026</v>
      </c>
    </row>
    <row r="14" customFormat="false" ht="15" hidden="false" customHeight="false" outlineLevel="0" collapsed="false">
      <c r="A14" s="8" t="s">
        <v>61</v>
      </c>
      <c r="B14" s="8" t="s">
        <v>61</v>
      </c>
      <c r="C14" s="8" t="s">
        <v>61</v>
      </c>
      <c r="D14" s="8" t="s">
        <v>61</v>
      </c>
      <c r="E14" s="14" t="s">
        <v>70</v>
      </c>
      <c r="F14" s="11" t="n">
        <f aca="false">'Исходные данные'!$B$3^2</f>
        <v>10000</v>
      </c>
      <c r="G14" s="15" t="n">
        <f aca="false">(ABS('Исходные данные'!$B$24)+ABS('Исходные данные'!$B$25)+ABS('Исходные данные'!$B$19)+ABS('Исходные данные'!$B$18))/4</f>
        <v>0.465</v>
      </c>
      <c r="H14" s="11" t="n">
        <f aca="false">F14*G14</f>
        <v>4650</v>
      </c>
      <c r="I14" s="11" t="n">
        <f aca="false">H14/'Исходные данные'!$B$4</f>
        <v>4471.15384615385</v>
      </c>
    </row>
    <row r="15" customFormat="false" ht="15" hidden="false" customHeight="false" outlineLevel="0" collapsed="false">
      <c r="A15" s="8" t="s">
        <v>61</v>
      </c>
      <c r="B15" s="8" t="s">
        <v>61</v>
      </c>
      <c r="C15" s="8" t="s">
        <v>61</v>
      </c>
      <c r="D15" s="8" t="s">
        <v>61</v>
      </c>
      <c r="E15" s="14" t="s">
        <v>71</v>
      </c>
      <c r="F15" s="11" t="n">
        <f aca="false">'Исходные данные'!$B$3^2</f>
        <v>10000</v>
      </c>
      <c r="G15" s="15" t="n">
        <f aca="false">(ABS('Исходные данные'!$B$25)+ABS('Исходные данные'!$B$26)+ABS('Исходные данные'!$B$20)+ABS('Исходные данные'!$B$19))/4</f>
        <v>0.6075</v>
      </c>
      <c r="H15" s="11" t="n">
        <f aca="false">F15*G15</f>
        <v>6075</v>
      </c>
      <c r="I15" s="11" t="n">
        <f aca="false">H15/'Исходные данные'!$B$4</f>
        <v>5841.34615384615</v>
      </c>
    </row>
    <row r="16" customFormat="false" ht="15" hidden="false" customHeight="false" outlineLevel="0" collapsed="false">
      <c r="A16" s="14" t="s">
        <v>72</v>
      </c>
      <c r="B16" s="11" t="n">
        <f aca="false">'Исходные данные'!$B$3^2</f>
        <v>10000</v>
      </c>
      <c r="C16" s="15" t="n">
        <f aca="false">(ABS('Исходные данные'!$B$27)+ABS('Исходные данные'!$B$28)+ABS('Исходные данные'!$B$22)+ABS('Исходные данные'!$B$21))/4</f>
        <v>0.43</v>
      </c>
      <c r="D16" s="11" t="n">
        <f aca="false">B16*C16</f>
        <v>4300</v>
      </c>
      <c r="E16" s="8" t="s">
        <v>61</v>
      </c>
      <c r="F16" s="8" t="s">
        <v>61</v>
      </c>
      <c r="G16" s="8" t="s">
        <v>61</v>
      </c>
      <c r="H16" s="8" t="s">
        <v>61</v>
      </c>
      <c r="I16" s="8" t="s">
        <v>61</v>
      </c>
    </row>
    <row r="17" customFormat="false" ht="15" hidden="false" customHeight="false" outlineLevel="0" collapsed="false">
      <c r="A17" s="14" t="s">
        <v>73</v>
      </c>
      <c r="B17" s="11" t="n">
        <f aca="false">'Исходные данные'!$B$3^2</f>
        <v>10000</v>
      </c>
      <c r="C17" s="15" t="n">
        <f aca="false">(ABS('Исходные данные'!$B$28)+ABS('Исходные данные'!$B$29)+ABS('Исходные данные'!$B$23)+ABS('Исходные данные'!$B$22))/4</f>
        <v>0.47</v>
      </c>
      <c r="D17" s="11" t="n">
        <f aca="false">B17*C17</f>
        <v>4700</v>
      </c>
      <c r="E17" s="8" t="s">
        <v>61</v>
      </c>
      <c r="F17" s="8" t="s">
        <v>61</v>
      </c>
      <c r="G17" s="8" t="s">
        <v>61</v>
      </c>
      <c r="H17" s="8" t="s">
        <v>61</v>
      </c>
      <c r="I17" s="8" t="s">
        <v>61</v>
      </c>
    </row>
    <row r="18" customFormat="false" ht="15" hidden="false" customHeight="false" outlineLevel="0" collapsed="false">
      <c r="A18" s="14" t="s">
        <v>74</v>
      </c>
      <c r="B18" s="11" t="n">
        <f aca="false">'Исходные данные'!$B$3^2-$F$18</f>
        <v>9444.44444444445</v>
      </c>
      <c r="C18" s="15" t="n">
        <f aca="false">(0+ABS('Исходные данные'!$B$23)+ABS('Исходные данные'!$B$29)+ABS('Исходные данные'!$B$30)+0)/5</f>
        <v>0.216</v>
      </c>
      <c r="D18" s="11" t="n">
        <f aca="false">B18*C18</f>
        <v>2040</v>
      </c>
      <c r="E18" s="14" t="s">
        <v>75</v>
      </c>
      <c r="F18" s="11" t="n">
        <f aca="false">ЛНР!$G$10*ЛНР!$H$9/2</f>
        <v>555.555555555556</v>
      </c>
      <c r="G18" s="15" t="n">
        <f aca="false">(0+ABS('Исходные данные'!$B$24)+0)/3</f>
        <v>0.0466666666666667</v>
      </c>
      <c r="H18" s="11" t="n">
        <f aca="false">F18*G18</f>
        <v>25.9259259259259</v>
      </c>
      <c r="I18" s="11" t="n">
        <f aca="false">H18/'Исходные данные'!$B$4</f>
        <v>24.9287749287749</v>
      </c>
    </row>
    <row r="19" customFormat="false" ht="15" hidden="false" customHeight="false" outlineLevel="0" collapsed="false">
      <c r="A19" s="14" t="s">
        <v>76</v>
      </c>
      <c r="B19" s="11" t="n">
        <f aca="false">(ЛНР!$H$10+ЛНР!$H$11)/2*'Исходные данные'!$B$3</f>
        <v>6054.85232067511</v>
      </c>
      <c r="C19" s="15" t="n">
        <f aca="false">(0+ABS('Исходные данные'!$B$30)+ABS('Исходные данные'!$B$31)+0)/4</f>
        <v>0.1775</v>
      </c>
      <c r="D19" s="11" t="n">
        <f aca="false">B19*C19</f>
        <v>1074.73628691983</v>
      </c>
      <c r="E19" s="14" t="s">
        <v>77</v>
      </c>
      <c r="F19" s="11" t="n">
        <f aca="false">(ЛНР!$G$11+ЛНР!$G$10)/2*'Исходные данные'!$B$3</f>
        <v>3945.14767932489</v>
      </c>
      <c r="G19" s="15" t="n">
        <f aca="false">(0+ABS('Исходные данные'!$B$25)+ABS('Исходные данные'!$B$24)+0)/4</f>
        <v>0.125</v>
      </c>
      <c r="H19" s="11" t="n">
        <f aca="false">F19*G19</f>
        <v>493.143459915612</v>
      </c>
      <c r="I19" s="11" t="n">
        <f aca="false">H19/'Исходные данные'!$B$4</f>
        <v>474.176403765011</v>
      </c>
    </row>
    <row r="20" customFormat="false" ht="15" hidden="false" customHeight="false" outlineLevel="0" collapsed="false">
      <c r="A20" s="14" t="s">
        <v>78</v>
      </c>
      <c r="B20" s="11" t="n">
        <f aca="false">ЛНР!$H$11*ЛНР!$G$12/2</f>
        <v>2053.07572729292</v>
      </c>
      <c r="C20" s="15" t="n">
        <f aca="false">(0+ABS('Исходные данные'!$B$31)+0)/3</f>
        <v>0.143333333333333</v>
      </c>
      <c r="D20" s="11" t="n">
        <f aca="false">B20*C20</f>
        <v>294.274187578651</v>
      </c>
      <c r="E20" s="14" t="s">
        <v>79</v>
      </c>
      <c r="F20" s="11" t="n">
        <f aca="false">'Исходные данные'!$B$3^2-$B$20</f>
        <v>7946.92427270708</v>
      </c>
      <c r="G20" s="15" t="n">
        <f aca="false">(0+ABS('Исходные данные'!$B$32)+ABS('Исходные данные'!$B$26)+ABS('Исходные данные'!$B$25)+0)/5</f>
        <v>0.252</v>
      </c>
      <c r="H20" s="11" t="n">
        <f aca="false">F20*G20</f>
        <v>2002.62491672219</v>
      </c>
      <c r="I20" s="11" t="n">
        <f aca="false">H20/'Исходные данные'!$B$4</f>
        <v>1925.60088146364</v>
      </c>
    </row>
    <row r="21" customFormat="false" ht="15" hidden="false" customHeight="false" outlineLevel="0" collapsed="false">
      <c r="A21" s="14" t="s">
        <v>80</v>
      </c>
      <c r="B21" s="16" t="n">
        <f aca="false">SUM(B6:B20)</f>
        <v>69191.634958637</v>
      </c>
      <c r="C21" s="8"/>
      <c r="D21" s="16" t="n">
        <f aca="false">SUM(D6:D20)</f>
        <v>20192.0818431221</v>
      </c>
      <c r="E21" s="14" t="s">
        <v>80</v>
      </c>
      <c r="F21" s="16" t="n">
        <f aca="false">SUM(F6:F20)</f>
        <v>80808.365041363</v>
      </c>
      <c r="G21" s="8"/>
      <c r="H21" s="16" t="n">
        <f aca="false">SUM(H6:H20)</f>
        <v>33522.0168584468</v>
      </c>
      <c r="I21" s="16" t="n">
        <f aca="false">SUM(I6:I20)</f>
        <v>32232.7085177373</v>
      </c>
    </row>
    <row r="23" customFormat="false" ht="15" hidden="false" customHeight="false" outlineLevel="0" collapsed="false">
      <c r="A23" s="7" t="s">
        <v>81</v>
      </c>
    </row>
    <row r="24" customFormat="false" ht="15" hidden="false" customHeight="true" outlineLevel="0" collapsed="false">
      <c r="A24" s="2" t="s">
        <v>82</v>
      </c>
      <c r="B24" s="2"/>
      <c r="C24" s="2"/>
      <c r="D24" s="2"/>
      <c r="E24" s="2"/>
      <c r="F24" s="16" t="n">
        <f aca="false">B21+F21</f>
        <v>150000</v>
      </c>
    </row>
    <row r="25" customFormat="false" ht="15" hidden="false" customHeight="true" outlineLevel="0" collapsed="false">
      <c r="A25" s="2" t="s">
        <v>83</v>
      </c>
      <c r="B25" s="2"/>
      <c r="C25" s="2"/>
      <c r="D25" s="2"/>
      <c r="E25" s="2"/>
      <c r="F25" s="16" t="n">
        <f aca="false">'Исходные данные'!$B$6*'Исходные данные'!$B$3^2</f>
        <v>150000</v>
      </c>
    </row>
    <row r="26" customFormat="false" ht="15" hidden="false" customHeight="true" outlineLevel="0" collapsed="false">
      <c r="A26" s="2" t="s">
        <v>84</v>
      </c>
      <c r="B26" s="2"/>
      <c r="C26" s="2"/>
      <c r="D26" s="2"/>
      <c r="E26" s="2"/>
      <c r="F26" s="16" t="n">
        <f aca="false">D21</f>
        <v>20192.0818431221</v>
      </c>
    </row>
    <row r="27" customFormat="false" ht="15" hidden="false" customHeight="true" outlineLevel="0" collapsed="false">
      <c r="A27" s="2" t="s">
        <v>85</v>
      </c>
      <c r="B27" s="2"/>
      <c r="C27" s="2"/>
      <c r="D27" s="2"/>
      <c r="E27" s="2"/>
      <c r="F27" s="16" t="n">
        <f aca="false">H21</f>
        <v>33522.0168584468</v>
      </c>
    </row>
    <row r="28" customFormat="false" ht="29.85" hidden="false" customHeight="true" outlineLevel="0" collapsed="false">
      <c r="A28" s="2" t="s">
        <v>86</v>
      </c>
      <c r="B28" s="2"/>
      <c r="C28" s="2"/>
      <c r="D28" s="2"/>
      <c r="E28" s="2"/>
      <c r="F28" s="16" t="n">
        <f aca="false">I21</f>
        <v>32232.7085177373</v>
      </c>
    </row>
    <row r="29" customFormat="false" ht="15" hidden="false" customHeight="true" outlineLevel="0" collapsed="false">
      <c r="A29" s="2" t="s">
        <v>87</v>
      </c>
      <c r="B29" s="2"/>
      <c r="C29" s="2"/>
      <c r="D29" s="2"/>
      <c r="E29" s="2"/>
      <c r="F29" s="16" t="n">
        <f aca="false">F28-F26</f>
        <v>12040.6266746152</v>
      </c>
    </row>
    <row r="30" customFormat="false" ht="15" hidden="false" customHeight="true" outlineLevel="0" collapsed="false">
      <c r="A30" s="2" t="s">
        <v>88</v>
      </c>
      <c r="B30" s="2"/>
      <c r="C30" s="2"/>
      <c r="D30" s="2"/>
      <c r="E30" s="2"/>
      <c r="F30" s="17" t="n">
        <f aca="false">F29/F26</f>
        <v>0.596304371592895</v>
      </c>
    </row>
    <row r="32" customFormat="false" ht="31.5" hidden="false" customHeight="true" outlineLevel="0" collapsed="false">
      <c r="A32" s="18" t="s">
        <v>89</v>
      </c>
      <c r="B32" s="18"/>
      <c r="C32" s="18"/>
      <c r="D32" s="18"/>
      <c r="E32" s="18"/>
      <c r="F32" s="18"/>
      <c r="G32" s="18"/>
      <c r="H32" s="18"/>
      <c r="I32" s="18"/>
    </row>
  </sheetData>
  <mergeCells count="10">
    <mergeCell ref="A4:D4"/>
    <mergeCell ref="E4:I4"/>
    <mergeCell ref="A24:E24"/>
    <mergeCell ref="A25:E25"/>
    <mergeCell ref="A26:E26"/>
    <mergeCell ref="A27:E27"/>
    <mergeCell ref="A28:E28"/>
    <mergeCell ref="A29:E29"/>
    <mergeCell ref="A30:E30"/>
    <mergeCell ref="A32:I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44"/>
    <col collapsed="false" customWidth="true" hidden="false" outlineLevel="0" max="7" min="6" style="0" width="9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4" t="s">
        <v>91</v>
      </c>
    </row>
    <row r="4" customFormat="false" ht="15" hidden="false" customHeight="false" outlineLevel="0" collapsed="false">
      <c r="A4" s="6" t="s">
        <v>92</v>
      </c>
      <c r="B4" s="6" t="s">
        <v>93</v>
      </c>
      <c r="C4" s="6" t="s">
        <v>94</v>
      </c>
      <c r="D4" s="6" t="s">
        <v>95</v>
      </c>
      <c r="E4" s="6" t="s">
        <v>96</v>
      </c>
    </row>
    <row r="5" customFormat="false" ht="15" hidden="false" customHeight="true" outlineLevel="0" collapsed="false">
      <c r="A5" s="19" t="s">
        <v>97</v>
      </c>
      <c r="B5" s="19"/>
      <c r="C5" s="19"/>
      <c r="D5" s="19"/>
      <c r="E5" s="19"/>
    </row>
    <row r="6" customFormat="false" ht="29.85" hidden="false" customHeight="false" outlineLevel="0" collapsed="false">
      <c r="A6" s="2" t="s">
        <v>98</v>
      </c>
      <c r="B6" s="8" t="s">
        <v>99</v>
      </c>
      <c r="C6" s="20" t="n">
        <v>2.4</v>
      </c>
      <c r="D6" s="8" t="s">
        <v>100</v>
      </c>
      <c r="E6" s="21"/>
    </row>
    <row r="7" customFormat="false" ht="15" hidden="false" customHeight="false" outlineLevel="0" collapsed="false">
      <c r="A7" s="2" t="s">
        <v>101</v>
      </c>
      <c r="B7" s="8" t="s">
        <v>102</v>
      </c>
      <c r="C7" s="20" t="n">
        <v>0.4</v>
      </c>
      <c r="D7" s="8" t="s">
        <v>100</v>
      </c>
      <c r="E7" s="21"/>
    </row>
    <row r="8" customFormat="false" ht="15" hidden="false" customHeight="false" outlineLevel="0" collapsed="false">
      <c r="A8" s="2" t="s">
        <v>103</v>
      </c>
      <c r="B8" s="8" t="s">
        <v>104</v>
      </c>
      <c r="C8" s="20" t="n">
        <v>0.15</v>
      </c>
      <c r="D8" s="8" t="s">
        <v>100</v>
      </c>
      <c r="E8" s="21"/>
    </row>
    <row r="9" customFormat="false" ht="15" hidden="false" customHeight="false" outlineLevel="0" collapsed="false">
      <c r="A9" s="2" t="s">
        <v>105</v>
      </c>
      <c r="B9" s="8" t="s">
        <v>106</v>
      </c>
      <c r="C9" s="20" t="n">
        <v>0.1</v>
      </c>
      <c r="D9" s="8" t="s">
        <v>100</v>
      </c>
      <c r="E9" s="21"/>
    </row>
    <row r="10" customFormat="false" ht="15" hidden="false" customHeight="false" outlineLevel="0" collapsed="false">
      <c r="A10" s="2" t="s">
        <v>107</v>
      </c>
      <c r="B10" s="8" t="s">
        <v>108</v>
      </c>
      <c r="C10" s="20" t="n">
        <v>0.4</v>
      </c>
      <c r="D10" s="8" t="s">
        <v>100</v>
      </c>
      <c r="E10" s="21" t="s">
        <v>109</v>
      </c>
    </row>
    <row r="11" customFormat="false" ht="15" hidden="false" customHeight="false" outlineLevel="0" collapsed="false">
      <c r="A11" s="2" t="s">
        <v>110</v>
      </c>
      <c r="B11" s="8"/>
      <c r="C11" s="20" t="n">
        <v>0.5</v>
      </c>
      <c r="D11" s="8" t="s">
        <v>100</v>
      </c>
      <c r="E11" s="21" t="s">
        <v>111</v>
      </c>
    </row>
    <row r="12" customFormat="false" ht="15" hidden="false" customHeight="false" outlineLevel="0" collapsed="false">
      <c r="A12" s="2" t="s">
        <v>112</v>
      </c>
      <c r="B12" s="8"/>
      <c r="C12" s="20" t="n">
        <v>0.2</v>
      </c>
      <c r="D12" s="8" t="s">
        <v>100</v>
      </c>
      <c r="E12" s="21" t="s">
        <v>113</v>
      </c>
    </row>
    <row r="13" customFormat="false" ht="15" hidden="false" customHeight="false" outlineLevel="0" collapsed="false">
      <c r="A13" s="2" t="s">
        <v>114</v>
      </c>
      <c r="B13" s="8"/>
      <c r="C13" s="20" t="n">
        <v>0.5</v>
      </c>
      <c r="D13" s="8" t="s">
        <v>100</v>
      </c>
      <c r="E13" s="21" t="s">
        <v>111</v>
      </c>
    </row>
    <row r="14" customFormat="false" ht="15" hidden="false" customHeight="false" outlineLevel="0" collapsed="false">
      <c r="A14" s="2" t="s">
        <v>115</v>
      </c>
      <c r="B14" s="8"/>
      <c r="C14" s="22" t="n">
        <v>60</v>
      </c>
      <c r="D14" s="8" t="s">
        <v>100</v>
      </c>
      <c r="E14" s="21"/>
    </row>
    <row r="15" customFormat="false" ht="15" hidden="false" customHeight="false" outlineLevel="0" collapsed="false">
      <c r="A15" s="2" t="s">
        <v>116</v>
      </c>
      <c r="B15" s="8"/>
      <c r="C15" s="22" t="n">
        <v>30</v>
      </c>
      <c r="D15" s="8" t="s">
        <v>100</v>
      </c>
      <c r="E15" s="21"/>
    </row>
    <row r="16" customFormat="false" ht="15" hidden="false" customHeight="false" outlineLevel="0" collapsed="false">
      <c r="A16" s="2" t="s">
        <v>117</v>
      </c>
      <c r="B16" s="8"/>
      <c r="C16" s="22" t="n">
        <v>42</v>
      </c>
      <c r="D16" s="8" t="s">
        <v>100</v>
      </c>
      <c r="E16" s="21"/>
    </row>
    <row r="17" customFormat="false" ht="15" hidden="false" customHeight="false" outlineLevel="0" collapsed="false">
      <c r="A17" s="2" t="s">
        <v>118</v>
      </c>
      <c r="B17" s="8"/>
      <c r="C17" s="22" t="n">
        <v>12</v>
      </c>
      <c r="D17" s="8" t="s">
        <v>100</v>
      </c>
      <c r="E17" s="21"/>
    </row>
    <row r="18" customFormat="false" ht="15" hidden="false" customHeight="false" outlineLevel="0" collapsed="false">
      <c r="A18" s="2" t="s">
        <v>119</v>
      </c>
      <c r="B18" s="8"/>
      <c r="C18" s="23" t="n">
        <v>200</v>
      </c>
      <c r="D18" s="8" t="s">
        <v>100</v>
      </c>
      <c r="E18" s="21"/>
    </row>
    <row r="19" customFormat="false" ht="15" hidden="false" customHeight="false" outlineLevel="0" collapsed="false">
      <c r="A19" s="2" t="s">
        <v>120</v>
      </c>
      <c r="B19" s="8"/>
      <c r="C19" s="23" t="n">
        <v>100</v>
      </c>
      <c r="D19" s="8" t="s">
        <v>100</v>
      </c>
      <c r="E19" s="21"/>
    </row>
    <row r="20" customFormat="false" ht="15" hidden="false" customHeight="false" outlineLevel="0" collapsed="false">
      <c r="A20" s="2" t="s">
        <v>121</v>
      </c>
      <c r="B20" s="8" t="s">
        <v>122</v>
      </c>
      <c r="C20" s="24" t="n">
        <f aca="false">$C$18+'Исходные данные'!$B$3/2-$C$14/2</f>
        <v>220</v>
      </c>
      <c r="D20" s="8" t="s">
        <v>100</v>
      </c>
      <c r="E20" s="21"/>
    </row>
    <row r="21" customFormat="false" ht="15" hidden="false" customHeight="false" outlineLevel="0" collapsed="false">
      <c r="A21" s="2" t="s">
        <v>123</v>
      </c>
      <c r="B21" s="8" t="s">
        <v>124</v>
      </c>
      <c r="C21" s="24" t="n">
        <f aca="false">$C$19+'Исходные данные'!$B$3/2-$C$15/2</f>
        <v>135</v>
      </c>
      <c r="D21" s="8" t="s">
        <v>100</v>
      </c>
      <c r="E21" s="21"/>
    </row>
    <row r="22" customFormat="false" ht="15" hidden="false" customHeight="true" outlineLevel="0" collapsed="false">
      <c r="A22" s="19" t="s">
        <v>125</v>
      </c>
      <c r="B22" s="19"/>
      <c r="C22" s="19"/>
      <c r="D22" s="19"/>
      <c r="E22" s="19"/>
    </row>
    <row r="23" customFormat="false" ht="15" hidden="false" customHeight="false" outlineLevel="0" collapsed="false">
      <c r="A23" s="2" t="s">
        <v>126</v>
      </c>
      <c r="B23" s="8"/>
      <c r="C23" s="15" t="n">
        <f aca="false">$C$10/2</f>
        <v>0.2</v>
      </c>
      <c r="D23" s="8" t="s">
        <v>100</v>
      </c>
      <c r="E23" s="21"/>
    </row>
    <row r="24" customFormat="false" ht="15" hidden="false" customHeight="false" outlineLevel="0" collapsed="false">
      <c r="A24" s="2" t="s">
        <v>127</v>
      </c>
      <c r="B24" s="8" t="s">
        <v>128</v>
      </c>
      <c r="C24" s="15" t="n">
        <f aca="false">$C$23+$C$11</f>
        <v>0.7</v>
      </c>
      <c r="D24" s="8" t="s">
        <v>100</v>
      </c>
      <c r="E24" s="21"/>
    </row>
    <row r="25" customFormat="false" ht="15" hidden="false" customHeight="false" outlineLevel="0" collapsed="false">
      <c r="A25" s="2" t="s">
        <v>129</v>
      </c>
      <c r="B25" s="8"/>
      <c r="C25" s="15" t="n">
        <f aca="false">$C$24+$C$12</f>
        <v>0.9</v>
      </c>
      <c r="D25" s="8" t="s">
        <v>100</v>
      </c>
      <c r="E25" s="21"/>
    </row>
    <row r="26" customFormat="false" ht="15" hidden="false" customHeight="false" outlineLevel="0" collapsed="false">
      <c r="A26" s="2" t="s">
        <v>130</v>
      </c>
      <c r="B26" s="8"/>
      <c r="C26" s="15" t="n">
        <f aca="false">$C$25+$C$13</f>
        <v>1.4</v>
      </c>
      <c r="D26" s="8" t="s">
        <v>100</v>
      </c>
      <c r="E26" s="21"/>
    </row>
    <row r="27" customFormat="false" ht="15" hidden="false" customHeight="false" outlineLevel="0" collapsed="false">
      <c r="A27" s="2" t="s">
        <v>131</v>
      </c>
      <c r="B27" s="8" t="s">
        <v>132</v>
      </c>
      <c r="C27" s="15" t="n">
        <f aca="false">$C$26-$C$24</f>
        <v>0.7</v>
      </c>
      <c r="D27" s="8" t="s">
        <v>100</v>
      </c>
      <c r="E27" s="21" t="s">
        <v>133</v>
      </c>
    </row>
    <row r="28" customFormat="false" ht="15" hidden="false" customHeight="true" outlineLevel="0" collapsed="false">
      <c r="A28" s="19" t="s">
        <v>134</v>
      </c>
      <c r="B28" s="19"/>
      <c r="C28" s="19"/>
      <c r="D28" s="19"/>
      <c r="E28" s="19"/>
    </row>
    <row r="29" customFormat="false" ht="15" hidden="false" customHeight="false" outlineLevel="0" collapsed="false">
      <c r="A29" s="2" t="s">
        <v>135</v>
      </c>
      <c r="B29" s="8" t="s">
        <v>136</v>
      </c>
      <c r="C29" s="11" t="n">
        <f aca="false">IF($C$6&lt;=1.5,0.25,IF($C$6&lt;=3,0.67,0.85))</f>
        <v>0.67</v>
      </c>
      <c r="D29" s="8"/>
      <c r="E29" s="21" t="s">
        <v>137</v>
      </c>
    </row>
    <row r="30" customFormat="false" ht="15" hidden="false" customHeight="false" outlineLevel="0" collapsed="false">
      <c r="A30" s="2" t="s">
        <v>138</v>
      </c>
      <c r="B30" s="8"/>
      <c r="C30" s="15" t="n">
        <f aca="false">$C$26+$C$6*$C$29</f>
        <v>3.008</v>
      </c>
      <c r="D30" s="8" t="s">
        <v>100</v>
      </c>
      <c r="E30" s="21"/>
    </row>
    <row r="31" customFormat="false" ht="15" hidden="false" customHeight="false" outlineLevel="0" collapsed="false">
      <c r="A31" s="2" t="s">
        <v>139</v>
      </c>
      <c r="B31" s="8" t="s">
        <v>140</v>
      </c>
      <c r="C31" s="25" t="n">
        <f aca="false">AVERAGE(H68:H73)</f>
        <v>0.143860123050667</v>
      </c>
      <c r="D31" s="8" t="s">
        <v>100</v>
      </c>
      <c r="E31" s="21" t="s">
        <v>141</v>
      </c>
    </row>
    <row r="32" customFormat="false" ht="15" hidden="false" customHeight="false" outlineLevel="0" collapsed="false">
      <c r="A32" s="2" t="s">
        <v>142</v>
      </c>
      <c r="B32" s="8"/>
      <c r="C32" s="15" t="str">
        <f aca="false">IF($C$31&gt;0,"насыпи","выемки")</f>
        <v>насыпи</v>
      </c>
      <c r="D32" s="8"/>
      <c r="E32" s="21" t="s">
        <v>143</v>
      </c>
    </row>
    <row r="33" customFormat="false" ht="29.85" hidden="false" customHeight="false" outlineLevel="0" collapsed="false">
      <c r="A33" s="2" t="s">
        <v>144</v>
      </c>
      <c r="B33" s="8" t="s">
        <v>145</v>
      </c>
      <c r="C33" s="25" t="n">
        <f aca="false">('Исходные данные'!$B$17+'Исходные данные'!$B$18+'Исходные данные'!$B$23+'Исходные данные'!$B$24)/4</f>
        <v>0.165</v>
      </c>
      <c r="D33" s="8" t="s">
        <v>100</v>
      </c>
      <c r="E33" s="21" t="s">
        <v>146</v>
      </c>
    </row>
    <row r="34" customFormat="false" ht="15" hidden="false" customHeight="false" outlineLevel="0" collapsed="false">
      <c r="A34" s="2" t="s">
        <v>147</v>
      </c>
      <c r="B34" s="8" t="s">
        <v>148</v>
      </c>
      <c r="C34" s="25" t="n">
        <f aca="false">IF($C$32="насыпи",$C$6-$C$33,$C$6)</f>
        <v>2.235</v>
      </c>
      <c r="D34" s="8" t="s">
        <v>100</v>
      </c>
      <c r="E34" s="21" t="s">
        <v>149</v>
      </c>
    </row>
    <row r="35" customFormat="false" ht="15" hidden="false" customHeight="true" outlineLevel="0" collapsed="false">
      <c r="A35" s="19" t="s">
        <v>150</v>
      </c>
      <c r="B35" s="19"/>
      <c r="C35" s="19"/>
      <c r="D35" s="19"/>
      <c r="E35" s="19"/>
    </row>
    <row r="36" customFormat="false" ht="15" hidden="false" customHeight="false" outlineLevel="0" collapsed="false">
      <c r="A36" s="2" t="s">
        <v>151</v>
      </c>
      <c r="B36" s="8" t="s">
        <v>152</v>
      </c>
      <c r="C36" s="11" t="n">
        <f aca="false">IF($C$34&lt;=1.5,0.25,IF($C$34&lt;=3,0.67,0.85))</f>
        <v>0.67</v>
      </c>
      <c r="D36" s="8"/>
      <c r="E36" s="21" t="s">
        <v>153</v>
      </c>
    </row>
    <row r="37" customFormat="false" ht="15" hidden="false" customHeight="false" outlineLevel="0" collapsed="false">
      <c r="A37" s="2" t="s">
        <v>154</v>
      </c>
      <c r="B37" s="8" t="s">
        <v>155</v>
      </c>
      <c r="C37" s="25" t="n">
        <f aca="false">$C$34*$C$36</f>
        <v>1.49745</v>
      </c>
      <c r="D37" s="8" t="s">
        <v>100</v>
      </c>
      <c r="E37" s="21" t="s">
        <v>156</v>
      </c>
    </row>
    <row r="38" customFormat="false" ht="15" hidden="false" customHeight="false" outlineLevel="0" collapsed="false">
      <c r="A38" s="2" t="s">
        <v>157</v>
      </c>
      <c r="B38" s="8"/>
      <c r="C38" s="15" t="n">
        <f aca="false">$C$14+2*$C$26</f>
        <v>62.8</v>
      </c>
      <c r="D38" s="8" t="s">
        <v>100</v>
      </c>
      <c r="E38" s="21"/>
    </row>
    <row r="39" customFormat="false" ht="15" hidden="false" customHeight="false" outlineLevel="0" collapsed="false">
      <c r="A39" s="2" t="s">
        <v>158</v>
      </c>
      <c r="B39" s="8"/>
      <c r="C39" s="15" t="n">
        <f aca="false">$C$15+2*$C$26</f>
        <v>32.8</v>
      </c>
      <c r="D39" s="8" t="s">
        <v>100</v>
      </c>
      <c r="E39" s="21"/>
    </row>
    <row r="40" customFormat="false" ht="15" hidden="false" customHeight="false" outlineLevel="0" collapsed="false">
      <c r="A40" s="2" t="s">
        <v>159</v>
      </c>
      <c r="B40" s="8" t="s">
        <v>160</v>
      </c>
      <c r="C40" s="11" t="n">
        <f aca="false">($C$14+2*$C$26)*($C$15+2*$C$26)-$C$16*$C$17</f>
        <v>1555.84</v>
      </c>
      <c r="D40" s="8" t="s">
        <v>161</v>
      </c>
      <c r="E40" s="21" t="s">
        <v>162</v>
      </c>
    </row>
    <row r="41" customFormat="false" ht="15" hidden="false" customHeight="false" outlineLevel="0" collapsed="false">
      <c r="A41" s="2" t="s">
        <v>163</v>
      </c>
      <c r="B41" s="8"/>
      <c r="C41" s="15" t="n">
        <f aca="false">$C$38+2*$C$37</f>
        <v>65.7949</v>
      </c>
      <c r="D41" s="8" t="s">
        <v>100</v>
      </c>
      <c r="E41" s="21"/>
    </row>
    <row r="42" customFormat="false" ht="15" hidden="false" customHeight="false" outlineLevel="0" collapsed="false">
      <c r="A42" s="2" t="s">
        <v>164</v>
      </c>
      <c r="B42" s="8"/>
      <c r="C42" s="15" t="n">
        <f aca="false">$C$39+2*$C$37</f>
        <v>35.7949</v>
      </c>
      <c r="D42" s="8" t="s">
        <v>100</v>
      </c>
      <c r="E42" s="21"/>
    </row>
    <row r="43" customFormat="false" ht="15" hidden="false" customHeight="false" outlineLevel="0" collapsed="false">
      <c r="A43" s="2" t="s">
        <v>165</v>
      </c>
      <c r="B43" s="8" t="s">
        <v>166</v>
      </c>
      <c r="C43" s="11" t="n">
        <f aca="false">$C$41*$C$42-$C$16*$C$17</f>
        <v>1851.12186601</v>
      </c>
      <c r="D43" s="8" t="s">
        <v>161</v>
      </c>
      <c r="E43" s="21"/>
    </row>
    <row r="44" customFormat="false" ht="15" hidden="false" customHeight="false" outlineLevel="0" collapsed="false">
      <c r="A44" s="2" t="s">
        <v>167</v>
      </c>
      <c r="B44" s="8" t="s">
        <v>168</v>
      </c>
      <c r="C44" s="11" t="n">
        <f aca="false">($C$14+2*$C$23)*($C$15+2*$C$23)-$C$16*$C$17</f>
        <v>1332.16</v>
      </c>
      <c r="D44" s="8" t="s">
        <v>161</v>
      </c>
      <c r="E44" s="21"/>
    </row>
    <row r="45" customFormat="false" ht="15" hidden="false" customHeight="false" outlineLevel="0" collapsed="false">
      <c r="A45" s="2" t="s">
        <v>169</v>
      </c>
      <c r="B45" s="8" t="s">
        <v>170</v>
      </c>
      <c r="C45" s="11" t="n">
        <f aca="false">($C$14+2*$C$24)*($C$15+2*$C$24)-$C$16*$C$17</f>
        <v>1423.96</v>
      </c>
      <c r="D45" s="8" t="s">
        <v>161</v>
      </c>
      <c r="E45" s="21"/>
    </row>
    <row r="46" customFormat="false" ht="15" hidden="false" customHeight="false" outlineLevel="0" collapsed="false">
      <c r="A46" s="2" t="s">
        <v>171</v>
      </c>
      <c r="B46" s="8" t="s">
        <v>172</v>
      </c>
      <c r="C46" s="11" t="n">
        <f aca="false">($C$14+2*$C$25)*($C$15+2*$C$25)-$C$16*$C$17</f>
        <v>1461.24</v>
      </c>
      <c r="D46" s="8" t="s">
        <v>161</v>
      </c>
      <c r="E46" s="21"/>
    </row>
    <row r="47" customFormat="false" ht="15" hidden="false" customHeight="true" outlineLevel="0" collapsed="false">
      <c r="A47" s="19" t="s">
        <v>173</v>
      </c>
      <c r="B47" s="19"/>
      <c r="C47" s="19"/>
      <c r="D47" s="19"/>
      <c r="E47" s="19"/>
    </row>
    <row r="48" customFormat="false" ht="15" hidden="false" customHeight="false" outlineLevel="0" collapsed="false">
      <c r="A48" s="2" t="s">
        <v>174</v>
      </c>
      <c r="B48" s="8" t="s">
        <v>175</v>
      </c>
      <c r="C48" s="22" t="n">
        <v>3</v>
      </c>
      <c r="D48" s="8" t="s">
        <v>100</v>
      </c>
      <c r="E48" s="21" t="s">
        <v>176</v>
      </c>
    </row>
    <row r="49" customFormat="false" ht="15" hidden="false" customHeight="false" outlineLevel="0" collapsed="false">
      <c r="A49" s="2" t="s">
        <v>177</v>
      </c>
      <c r="B49" s="8" t="s">
        <v>178</v>
      </c>
      <c r="C49" s="9" t="n">
        <v>0.1</v>
      </c>
      <c r="D49" s="8"/>
      <c r="E49" s="21" t="s">
        <v>179</v>
      </c>
    </row>
    <row r="50" customFormat="false" ht="15" hidden="false" customHeight="false" outlineLevel="0" collapsed="false">
      <c r="A50" s="2" t="s">
        <v>180</v>
      </c>
      <c r="B50" s="8" t="s">
        <v>181</v>
      </c>
      <c r="C50" s="11" t="n">
        <f aca="false">1/$C$49</f>
        <v>10</v>
      </c>
      <c r="D50" s="8"/>
      <c r="E50" s="21" t="s">
        <v>182</v>
      </c>
    </row>
    <row r="51" customFormat="false" ht="15" hidden="false" customHeight="false" outlineLevel="0" collapsed="false">
      <c r="A51" s="2" t="s">
        <v>183</v>
      </c>
      <c r="B51" s="8"/>
      <c r="C51" s="15" t="n">
        <f aca="false">$C$34*$C$50</f>
        <v>22.35</v>
      </c>
      <c r="D51" s="8" t="s">
        <v>100</v>
      </c>
      <c r="E51" s="21"/>
    </row>
    <row r="52" customFormat="false" ht="15" hidden="false" customHeight="false" outlineLevel="0" collapsed="false">
      <c r="A52" s="2" t="s">
        <v>184</v>
      </c>
      <c r="B52" s="8" t="s">
        <v>185</v>
      </c>
      <c r="C52" s="11" t="n">
        <f aca="false">$C$50*($C$48*$C$34^2/2+$C$36*$C$34^3/3)</f>
        <v>99.8620405875</v>
      </c>
      <c r="D52" s="8" t="s">
        <v>186</v>
      </c>
      <c r="E52" s="21" t="s">
        <v>187</v>
      </c>
    </row>
    <row r="53" customFormat="false" ht="15" hidden="false" customHeight="true" outlineLevel="0" collapsed="false">
      <c r="A53" s="19" t="s">
        <v>188</v>
      </c>
      <c r="B53" s="19"/>
      <c r="C53" s="19"/>
      <c r="D53" s="19"/>
      <c r="E53" s="19"/>
    </row>
    <row r="54" customFormat="false" ht="15" hidden="false" customHeight="false" outlineLevel="0" collapsed="false">
      <c r="A54" s="2" t="s">
        <v>189</v>
      </c>
      <c r="B54" s="8"/>
      <c r="C54" s="11" t="n">
        <f aca="false">$C$34/3*($C$40+$C$43+SQRT($C$40*$C$43))</f>
        <v>3802.50436774103</v>
      </c>
      <c r="D54" s="8" t="s">
        <v>186</v>
      </c>
      <c r="E54" s="21" t="s">
        <v>190</v>
      </c>
    </row>
    <row r="55" customFormat="false" ht="15" hidden="false" customHeight="false" outlineLevel="0" collapsed="false">
      <c r="A55" s="2" t="s">
        <v>191</v>
      </c>
      <c r="B55" s="8" t="s">
        <v>192</v>
      </c>
      <c r="C55" s="11" t="n">
        <f aca="false">$C$54+$C$52</f>
        <v>3902.36640832853</v>
      </c>
      <c r="D55" s="8" t="s">
        <v>186</v>
      </c>
      <c r="E55" s="21"/>
    </row>
    <row r="56" customFormat="false" ht="15" hidden="false" customHeight="false" outlineLevel="0" collapsed="false">
      <c r="A56" s="2" t="s">
        <v>193</v>
      </c>
      <c r="B56" s="8" t="s">
        <v>194</v>
      </c>
      <c r="C56" s="11" t="n">
        <f aca="false">$C$40*$C$9</f>
        <v>155.584</v>
      </c>
      <c r="D56" s="8" t="s">
        <v>186</v>
      </c>
      <c r="E56" s="21" t="s">
        <v>195</v>
      </c>
    </row>
    <row r="57" customFormat="false" ht="15" hidden="false" customHeight="false" outlineLevel="0" collapsed="false">
      <c r="A57" s="2" t="s">
        <v>196</v>
      </c>
      <c r="B57" s="8" t="s">
        <v>197</v>
      </c>
      <c r="C57" s="11" t="n">
        <f aca="false">$C$46*$C$8</f>
        <v>219.186</v>
      </c>
      <c r="D57" s="8" t="s">
        <v>186</v>
      </c>
      <c r="E57" s="21" t="s">
        <v>198</v>
      </c>
    </row>
    <row r="58" customFormat="false" ht="15" hidden="false" customHeight="false" outlineLevel="0" collapsed="false">
      <c r="A58" s="2" t="s">
        <v>199</v>
      </c>
      <c r="B58" s="8" t="s">
        <v>200</v>
      </c>
      <c r="C58" s="9" t="n">
        <v>0</v>
      </c>
      <c r="D58" s="8" t="s">
        <v>186</v>
      </c>
      <c r="E58" s="21" t="s">
        <v>201</v>
      </c>
    </row>
    <row r="59" customFormat="false" ht="15" hidden="false" customHeight="false" outlineLevel="0" collapsed="false">
      <c r="A59" s="2" t="s">
        <v>202</v>
      </c>
      <c r="B59" s="8" t="s">
        <v>203</v>
      </c>
      <c r="C59" s="9" t="n">
        <v>0</v>
      </c>
      <c r="D59" s="8" t="s">
        <v>186</v>
      </c>
      <c r="E59" s="21" t="s">
        <v>204</v>
      </c>
    </row>
    <row r="60" customFormat="false" ht="15" hidden="false" customHeight="false" outlineLevel="0" collapsed="false">
      <c r="A60" s="2" t="s">
        <v>205</v>
      </c>
      <c r="B60" s="8" t="s">
        <v>206</v>
      </c>
      <c r="C60" s="11" t="n">
        <f aca="false">$C$45*$C$7</f>
        <v>569.584</v>
      </c>
      <c r="D60" s="8" t="s">
        <v>186</v>
      </c>
      <c r="E60" s="21" t="s">
        <v>207</v>
      </c>
    </row>
    <row r="61" customFormat="false" ht="15" hidden="false" customHeight="false" outlineLevel="0" collapsed="false">
      <c r="A61" s="2" t="s">
        <v>208</v>
      </c>
      <c r="B61" s="8"/>
      <c r="C61" s="15" t="n">
        <f aca="false">$C$34-$C$7-$C$8-$C$9</f>
        <v>1.585</v>
      </c>
      <c r="D61" s="8" t="s">
        <v>100</v>
      </c>
      <c r="E61" s="21" t="s">
        <v>209</v>
      </c>
    </row>
    <row r="62" customFormat="false" ht="15" hidden="false" customHeight="false" outlineLevel="0" collapsed="false">
      <c r="A62" s="2" t="s">
        <v>210</v>
      </c>
      <c r="B62" s="8" t="s">
        <v>211</v>
      </c>
      <c r="C62" s="11" t="n">
        <f aca="false">$C$44*$C$61</f>
        <v>2111.4736</v>
      </c>
      <c r="D62" s="8" t="s">
        <v>186</v>
      </c>
      <c r="E62" s="21"/>
    </row>
    <row r="63" customFormat="false" ht="15" hidden="false" customHeight="false" outlineLevel="0" collapsed="false">
      <c r="A63" s="2" t="s">
        <v>212</v>
      </c>
      <c r="B63" s="8" t="s">
        <v>213</v>
      </c>
      <c r="C63" s="11" t="n">
        <f aca="false">$C$60+$C$62</f>
        <v>2681.0576</v>
      </c>
      <c r="D63" s="8" t="s">
        <v>186</v>
      </c>
      <c r="E63" s="21" t="s">
        <v>214</v>
      </c>
    </row>
    <row r="64" customFormat="false" ht="15" hidden="false" customHeight="false" outlineLevel="0" collapsed="false">
      <c r="A64" s="2" t="s">
        <v>215</v>
      </c>
      <c r="B64" s="8" t="s">
        <v>216</v>
      </c>
      <c r="C64" s="11" t="n">
        <f aca="false">$C$55-$C$63-$C$56-$C$57-$C$58-$C$59</f>
        <v>846.538808328531</v>
      </c>
      <c r="D64" s="8" t="s">
        <v>186</v>
      </c>
      <c r="E64" s="21" t="s">
        <v>217</v>
      </c>
    </row>
    <row r="66" customFormat="false" ht="15" hidden="false" customHeight="false" outlineLevel="0" collapsed="false">
      <c r="A66" s="7" t="s">
        <v>218</v>
      </c>
    </row>
    <row r="67" customFormat="false" ht="29.85" hidden="false" customHeight="false" outlineLevel="0" collapsed="false">
      <c r="A67" s="6" t="s">
        <v>219</v>
      </c>
      <c r="B67" s="6" t="s">
        <v>220</v>
      </c>
      <c r="C67" s="6" t="s">
        <v>221</v>
      </c>
      <c r="D67" s="6" t="s">
        <v>222</v>
      </c>
      <c r="E67" s="6" t="s">
        <v>223</v>
      </c>
      <c r="F67" s="6" t="s">
        <v>224</v>
      </c>
      <c r="G67" s="6" t="s">
        <v>225</v>
      </c>
      <c r="H67" s="6" t="s">
        <v>10</v>
      </c>
    </row>
    <row r="68" customFormat="false" ht="15" hidden="false" customHeight="false" outlineLevel="0" collapsed="false">
      <c r="A68" s="8" t="s">
        <v>57</v>
      </c>
      <c r="B68" s="15" t="n">
        <f aca="false">-$C$30</f>
        <v>-3.008</v>
      </c>
      <c r="C68" s="15" t="n">
        <f aca="false">-$C$30</f>
        <v>-3.008</v>
      </c>
      <c r="D68" s="15" t="n">
        <f aca="false">$C$20+B68</f>
        <v>216.992</v>
      </c>
      <c r="E68" s="15" t="n">
        <f aca="false">$C$21+C68</f>
        <v>131.992</v>
      </c>
      <c r="F68" s="25" t="n">
        <f aca="false">(D68-$C$18)/'Исходные данные'!$B$3</f>
        <v>0.16992</v>
      </c>
      <c r="G68" s="25" t="n">
        <f aca="false">(E68-$C$19)/'Исходные данные'!$B$3</f>
        <v>0.31992</v>
      </c>
      <c r="H68" s="25" t="n">
        <f aca="false">'Исходные данные'!$B$23*(1-F68)*(1-G68)+'Исходные данные'!$B$24*F68*(1-G68)+'Исходные данные'!$B$17*(1-F68)*G68+'Исходные данные'!$B$18*F68*G68</f>
        <v>-0.0392633451520001</v>
      </c>
    </row>
    <row r="69" customFormat="false" ht="15" hidden="false" customHeight="false" outlineLevel="0" collapsed="false">
      <c r="A69" s="8" t="s">
        <v>59</v>
      </c>
      <c r="B69" s="15" t="n">
        <f aca="false">$C$14-$C$16+$C$30</f>
        <v>21.008</v>
      </c>
      <c r="C69" s="15" t="n">
        <f aca="false">-$C$30</f>
        <v>-3.008</v>
      </c>
      <c r="D69" s="15" t="n">
        <f aca="false">$C$20+B69</f>
        <v>241.008</v>
      </c>
      <c r="E69" s="15" t="n">
        <f aca="false">$C$21+C69</f>
        <v>131.992</v>
      </c>
      <c r="F69" s="25" t="n">
        <f aca="false">(D69-$C$18)/'Исходные данные'!$B$3</f>
        <v>0.41008</v>
      </c>
      <c r="G69" s="25" t="n">
        <f aca="false">(E69-$C$19)/'Исходные данные'!$B$3</f>
        <v>0.31992</v>
      </c>
      <c r="H69" s="25" t="n">
        <f aca="false">'Исходные данные'!$B$23*(1-F69)*(1-G69)+'Исходные данные'!$B$24*F69*(1-G69)+'Исходные данные'!$B$17*(1-F69)*G69+'Исходные данные'!$B$18*F69*G69</f>
        <v>0.047774097152</v>
      </c>
    </row>
    <row r="70" customFormat="false" ht="15" hidden="false" customHeight="false" outlineLevel="0" collapsed="false">
      <c r="A70" s="8" t="s">
        <v>62</v>
      </c>
      <c r="B70" s="15" t="n">
        <f aca="false">$C$14-$C$16+$C$30</f>
        <v>21.008</v>
      </c>
      <c r="C70" s="15" t="n">
        <f aca="false">$C$17-$C$30</f>
        <v>8.992</v>
      </c>
      <c r="D70" s="15" t="n">
        <f aca="false">$C$20+B70</f>
        <v>241.008</v>
      </c>
      <c r="E70" s="15" t="n">
        <f aca="false">$C$21+C70</f>
        <v>143.992</v>
      </c>
      <c r="F70" s="25" t="n">
        <f aca="false">(D70-$C$18)/'Исходные данные'!$B$3</f>
        <v>0.41008</v>
      </c>
      <c r="G70" s="25" t="n">
        <f aca="false">(E70-$C$19)/'Исходные данные'!$B$3</f>
        <v>0.43992</v>
      </c>
      <c r="H70" s="25" t="n">
        <f aca="false">'Исходные данные'!$B$23*(1-F70)*(1-G70)+'Исходные данные'!$B$24*F70*(1-G70)+'Исходные данные'!$B$17*(1-F70)*G70+'Исходные данные'!$B$18*F70*G70</f>
        <v>0.106116369152</v>
      </c>
    </row>
    <row r="71" customFormat="false" ht="15" hidden="false" customHeight="false" outlineLevel="0" collapsed="false">
      <c r="A71" s="8" t="s">
        <v>63</v>
      </c>
      <c r="B71" s="15" t="n">
        <f aca="false">$C$14+$C$30</f>
        <v>63.008</v>
      </c>
      <c r="C71" s="15" t="n">
        <f aca="false">$C$17-$C$30</f>
        <v>8.992</v>
      </c>
      <c r="D71" s="15" t="n">
        <f aca="false">$C$20+B71</f>
        <v>283.008</v>
      </c>
      <c r="E71" s="15" t="n">
        <f aca="false">$C$21+C71</f>
        <v>143.992</v>
      </c>
      <c r="F71" s="25" t="n">
        <f aca="false">(D71-$C$18)/'Исходные данные'!$B$3</f>
        <v>0.83008</v>
      </c>
      <c r="G71" s="25" t="n">
        <f aca="false">(E71-$C$19)/'Исходные данные'!$B$3</f>
        <v>0.43992</v>
      </c>
      <c r="H71" s="25" t="n">
        <f aca="false">'Исходные данные'!$B$23*(1-F71)*(1-G71)+'Исходные данные'!$B$24*F71*(1-G71)+'Исходные данные'!$B$17*(1-F71)*G71+'Исходные данные'!$B$18*F71*G71</f>
        <v>0.249258417152</v>
      </c>
    </row>
    <row r="72" customFormat="false" ht="15" hidden="false" customHeight="false" outlineLevel="0" collapsed="false">
      <c r="A72" s="8" t="s">
        <v>64</v>
      </c>
      <c r="B72" s="15" t="n">
        <f aca="false">$C$14+$C$30</f>
        <v>63.008</v>
      </c>
      <c r="C72" s="15" t="n">
        <f aca="false">$C$15+$C$30</f>
        <v>33.008</v>
      </c>
      <c r="D72" s="15" t="n">
        <f aca="false">$C$20+B72</f>
        <v>283.008</v>
      </c>
      <c r="E72" s="15" t="n">
        <f aca="false">$C$21+C72</f>
        <v>168.008</v>
      </c>
      <c r="F72" s="25" t="n">
        <f aca="false">(D72-$C$18)/'Исходные данные'!$B$3</f>
        <v>0.83008</v>
      </c>
      <c r="G72" s="25" t="n">
        <f aca="false">(E72-$C$19)/'Исходные данные'!$B$3</f>
        <v>0.68008</v>
      </c>
      <c r="H72" s="25" t="n">
        <f aca="false">'Исходные данные'!$B$23*(1-F72)*(1-G72)+'Исходные данные'!$B$24*F72*(1-G72)+'Исходные данные'!$B$17*(1-F72)*G72+'Исходные данные'!$B$18*F72*G72</f>
        <v>0.347864654848</v>
      </c>
    </row>
    <row r="73" customFormat="false" ht="15" hidden="false" customHeight="false" outlineLevel="0" collapsed="false">
      <c r="A73" s="8" t="s">
        <v>65</v>
      </c>
      <c r="B73" s="15" t="n">
        <f aca="false">-$C$30</f>
        <v>-3.008</v>
      </c>
      <c r="C73" s="15" t="n">
        <f aca="false">$C$15+$C$30</f>
        <v>33.008</v>
      </c>
      <c r="D73" s="15" t="n">
        <f aca="false">$C$20+B73</f>
        <v>216.992</v>
      </c>
      <c r="E73" s="15" t="n">
        <f aca="false">$C$21+C73</f>
        <v>168.008</v>
      </c>
      <c r="F73" s="25" t="n">
        <f aca="false">(D73-$C$18)/'Исходные данные'!$B$3</f>
        <v>0.16992</v>
      </c>
      <c r="G73" s="25" t="n">
        <f aca="false">(E73-$C$19)/'Исходные данные'!$B$3</f>
        <v>0.68008</v>
      </c>
      <c r="H73" s="25" t="n">
        <f aca="false">'Исходные данные'!$B$23*(1-F73)*(1-G73)+'Исходные данные'!$B$24*F73*(1-G73)+'Исходные данные'!$B$17*(1-F73)*G73+'Исходные данные'!$B$18*F73*G73</f>
        <v>0.151410545152</v>
      </c>
    </row>
    <row r="74" customFormat="false" ht="15" hidden="false" customHeight="false" outlineLevel="0" collapsed="false">
      <c r="A74" s="26" t="s">
        <v>226</v>
      </c>
    </row>
  </sheetData>
  <mergeCells count="6">
    <mergeCell ref="A5:E5"/>
    <mergeCell ref="A22:E22"/>
    <mergeCell ref="A28:E28"/>
    <mergeCell ref="A35:E35"/>
    <mergeCell ref="A47:E47"/>
    <mergeCell ref="A53:E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5" min="3" style="0" width="16"/>
  </cols>
  <sheetData>
    <row r="1" customFormat="false" ht="17.35" hidden="false" customHeight="false" outlineLevel="0" collapsed="false">
      <c r="A1" s="1" t="s">
        <v>227</v>
      </c>
    </row>
    <row r="2" customFormat="false" ht="15" hidden="false" customHeight="false" outlineLevel="0" collapsed="false">
      <c r="A2" s="4" t="s">
        <v>228</v>
      </c>
    </row>
    <row r="4" customFormat="false" ht="15" hidden="false" customHeight="false" outlineLevel="0" collapsed="false">
      <c r="A4" s="6" t="s">
        <v>229</v>
      </c>
      <c r="B4" s="6" t="s">
        <v>230</v>
      </c>
      <c r="C4" s="6" t="s">
        <v>231</v>
      </c>
      <c r="D4" s="6" t="s">
        <v>232</v>
      </c>
      <c r="E4" s="6" t="s">
        <v>233</v>
      </c>
    </row>
    <row r="5" customFormat="false" ht="15" hidden="false" customHeight="false" outlineLevel="0" collapsed="false">
      <c r="A5" s="8" t="n">
        <v>1</v>
      </c>
      <c r="B5" s="2" t="s">
        <v>234</v>
      </c>
      <c r="C5" s="13" t="n">
        <f aca="false">Объёмы!D21</f>
        <v>20192.0818431221</v>
      </c>
      <c r="D5" s="13" t="n">
        <f aca="false">Объёмы!H21</f>
        <v>33522.0168584468</v>
      </c>
      <c r="E5" s="11" t="n">
        <f aca="false">D5/'Исходные данные'!$B$4</f>
        <v>32232.7085177373</v>
      </c>
    </row>
    <row r="6" customFormat="false" ht="15" hidden="false" customHeight="false" outlineLevel="0" collapsed="false">
      <c r="A6" s="8" t="n">
        <v>2</v>
      </c>
      <c r="B6" s="2" t="s">
        <v>235</v>
      </c>
      <c r="C6" s="13" t="n">
        <f aca="false">Котлован!$C$55</f>
        <v>3902.36640832853</v>
      </c>
      <c r="D6" s="13" t="n">
        <f aca="false">Котлован!$C$64</f>
        <v>846.538808328531</v>
      </c>
      <c r="E6" s="11" t="n">
        <f aca="false">D6/'Исходные данные'!$B$4</f>
        <v>813.979623392818</v>
      </c>
    </row>
    <row r="7" customFormat="false" ht="15" hidden="false" customHeight="false" outlineLevel="0" collapsed="false">
      <c r="A7" s="8"/>
      <c r="B7" s="27" t="s">
        <v>236</v>
      </c>
      <c r="C7" s="16" t="n">
        <f aca="false">SUM(C5:C6)</f>
        <v>24094.4482514506</v>
      </c>
      <c r="D7" s="16" t="n">
        <f aca="false">SUM(D5:D6)</f>
        <v>34368.5556667753</v>
      </c>
      <c r="E7" s="16" t="n">
        <f aca="false">SUM(E5:E6)</f>
        <v>33046.6881411301</v>
      </c>
    </row>
    <row r="8" customFormat="false" ht="15" hidden="false" customHeight="false" outlineLevel="0" collapsed="false">
      <c r="A8" s="8"/>
      <c r="B8" s="27" t="s">
        <v>237</v>
      </c>
      <c r="C8" s="16" t="n">
        <f aca="false">C7-E7</f>
        <v>-8952.23988967951</v>
      </c>
      <c r="D8" s="16"/>
      <c r="E8" s="16"/>
    </row>
    <row r="10" customFormat="false" ht="15" hidden="false" customHeight="true" outlineLevel="0" collapsed="false">
      <c r="A10" s="2" t="s">
        <v>238</v>
      </c>
      <c r="B10" s="2"/>
      <c r="C10" s="2"/>
      <c r="D10" s="28" t="n">
        <f aca="false">ABS(C8)/MAX(C7,E7)</f>
        <v>0.270896734082636</v>
      </c>
    </row>
    <row r="11" customFormat="false" ht="72.35" hidden="false" customHeight="true" outlineLevel="0" collapsed="false">
      <c r="A11" s="2" t="s">
        <v>239</v>
      </c>
      <c r="B11" s="2"/>
      <c r="C11" s="2"/>
      <c r="D11" s="14" t="str">
        <f aca="false">IF(D10&lt;=0.05,"баланс соблюдён",IF(C8&lt;0,"не хватает грунта — нужен перерасчёт Нср (Δh)","излишек грунта — нужен перерасчёт Нср (Δh)"))</f>
        <v>не хватает грунта — нужен перерасчёт Нср (Δh)</v>
      </c>
    </row>
    <row r="12" customFormat="false" ht="15" hidden="false" customHeight="true" outlineLevel="0" collapsed="false">
      <c r="A12" s="2" t="s">
        <v>240</v>
      </c>
      <c r="B12" s="2"/>
      <c r="C12" s="2"/>
      <c r="D12" s="16" t="n">
        <f aca="false">'Исходные данные'!$B$6*'Исходные данные'!$B$3^2-IF(Котлован!$C$32="насыпи",Котлован!$C$43,0)</f>
        <v>148148.87813399</v>
      </c>
    </row>
    <row r="13" customFormat="false" ht="15" hidden="false" customHeight="true" outlineLevel="0" collapsed="false">
      <c r="A13" s="2" t="s">
        <v>241</v>
      </c>
      <c r="B13" s="2"/>
      <c r="C13" s="2"/>
      <c r="D13" s="29" t="n">
        <f aca="false">C8/D12</f>
        <v>-0.0604273215054849</v>
      </c>
    </row>
    <row r="15" customFormat="false" ht="15" hidden="false" customHeight="false" outlineLevel="0" collapsed="false">
      <c r="A15" s="26" t="s">
        <v>242</v>
      </c>
    </row>
  </sheetData>
  <mergeCells count="5">
    <mergeCell ref="C8:E8"/>
    <mergeCell ref="A10:C10"/>
    <mergeCell ref="A11:C11"/>
    <mergeCell ref="A12:C12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2026-10-06T13:33:21Z</dcterms:created>
  <dc:creator>openpyxl</dc:creator>
  <dc:description/>
  <dc:language>en-US</dc:language>
  <cp:lastModifiedBy/>
  <dcterms:modified xsi:type="dcterms:W3CDTF">2026-10-06T13:33:21Z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