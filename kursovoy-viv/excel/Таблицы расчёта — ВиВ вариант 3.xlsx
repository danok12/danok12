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.1 Исходные" sheetId="2" state="visible" r:id="rId2"/>
    <sheet xmlns:r="http://schemas.openxmlformats.org/officeDocument/2006/relationships" name="1.2 Нормы" sheetId="3" state="visible" r:id="rId3"/>
    <sheet xmlns:r="http://schemas.openxmlformats.org/officeDocument/2006/relationships" name="1.3 Расходы" sheetId="4" state="visible" r:id="rId4"/>
    <sheet xmlns:r="http://schemas.openxmlformats.org/officeDocument/2006/relationships" name="1.4 Гидравлика В1" sheetId="5" state="visible" r:id="rId5"/>
    <sheet xmlns:r="http://schemas.openxmlformats.org/officeDocument/2006/relationships" name="1.5 Ввод" sheetId="6" state="visible" r:id="rId6"/>
    <sheet xmlns:r="http://schemas.openxmlformats.org/officeDocument/2006/relationships" name="1.6 Счётчики" sheetId="7" state="visible" r:id="rId7"/>
    <sheet xmlns:r="http://schemas.openxmlformats.org/officeDocument/2006/relationships" name="1.7 Напор" sheetId="8" state="visible" r:id="rId8"/>
    <sheet xmlns:r="http://schemas.openxmlformats.org/officeDocument/2006/relationships" name="1.8 Насос" sheetId="9" state="visible" r:id="rId9"/>
    <sheet xmlns:r="http://schemas.openxmlformats.org/officeDocument/2006/relationships" name="2.1 Стояки К1" sheetId="10" state="visible" r:id="rId10"/>
    <sheet xmlns:r="http://schemas.openxmlformats.org/officeDocument/2006/relationships" name="2.2 Горизонт. К1" sheetId="11" state="visible" r:id="rId11"/>
    <sheet xmlns:r="http://schemas.openxmlformats.org/officeDocument/2006/relationships" name="2.3 Отметки" sheetId="12" state="visible" r:id="rId12"/>
    <sheet xmlns:r="http://schemas.openxmlformats.org/officeDocument/2006/relationships" name="Табл. Б.2" sheetId="13" state="visible" r:id="rId13"/>
  </sheets>
  <definedNames>
    <definedName name="B2_NP">'Табл. Б.2'!$A$2:$A$582</definedName>
    <definedName name="B2_A">'Табл. Б.2'!$B$2:$B$582</definedName>
    <definedName name="N_ET">'1.1 Исходные'!$C$4</definedName>
    <definedName name="N_SEK">'1.1 Исходные'!$C$5</definedName>
    <definedName name="H_ET">'1.1 Исходные'!$C$6</definedName>
    <definedName name="U_ZAS">'1.1 Исходные'!$C$7</definedName>
    <definedName name="H_PODVAL">'1.1 Исходные'!$C$8</definedName>
    <definedName name="DH_POL">'1.1 Исходные'!$C$9</definedName>
    <definedName name="T_PEREKR">'1.1 Исходные'!$C$10</definedName>
    <definedName name="H_PROMERZ">'1.1 Исходные'!$C$11</definedName>
    <definedName name="H_GAR">'1.1 Исходные'!$C$12</definedName>
    <definedName name="D_GOR_V">'1.1 Исходные'!$C$13</definedName>
    <definedName name="D_GOR_K">'1.1 Исходные'!$C$14</definedName>
    <definedName name="NKV_SEK">'1.1 Исходные'!$C$15</definedName>
    <definedName name="N_PR">'1.1 Исходные'!$C$16</definedName>
    <definedName name="K_L">'1.1 Исходные'!$C$17</definedName>
    <definedName name="H_SV">'1.1 Исходные'!$C$18</definedName>
    <definedName name="Z_PR_DIKT">'1.1 Исходные'!$C$19</definedName>
    <definedName name="Z_ZEML_GVK">'1.1 Исходные'!$C$20</definedName>
    <definedName name="L_VVOD">'1.1 Исходные'!$C$21</definedName>
    <definedName name="Z0_ABS">'1.1 Исходные'!$C$22</definedName>
    <definedName name="QU_TOT">'1.2 Нормы'!$B$4</definedName>
    <definedName name="QU_H">'1.2 Нормы'!$C$4</definedName>
    <definedName name="QU_C">'1.2 Нормы'!$D$4</definedName>
    <definedName name="QHR_TOT">'1.2 Нормы'!$B$5</definedName>
    <definedName name="QHR_H">'1.2 Нормы'!$C$5</definedName>
    <definedName name="QHR_C">'1.2 Нормы'!$D$5</definedName>
    <definedName name="Q0_TOT">'1.2 Нормы'!$B$6</definedName>
    <definedName name="Q0_H">'1.2 Нормы'!$C$6</definedName>
    <definedName name="Q0_C">'1.2 Нормы'!$D$6</definedName>
    <definedName name="Q0HR_TOT">'1.2 Нормы'!$B$7</definedName>
    <definedName name="Q0HR_H">'1.2 Нормы'!$C$7</definedName>
    <definedName name="Q0HR_C">'1.2 Нормы'!$D$7</definedName>
    <definedName name="T_CH_TOT">'1.2 Нормы'!$B$8</definedName>
    <definedName name="T_CH_H">'1.2 Нормы'!$C$8</definedName>
    <definedName name="T_CH_C">'1.2 Нормы'!$D$8</definedName>
    <definedName name="N_KV">'1.3 Расходы'!$C$4</definedName>
    <definedName name="U_">'1.3 Расходы'!$C$5</definedName>
    <definedName name="N_">'1.3 Расходы'!$C$6</definedName>
    <definedName name="QSUT_TOT">'1.3 Расходы'!$C$7</definedName>
    <definedName name="QSUT_C">'1.3 Расходы'!$C$8</definedName>
    <definedName name="QT_TOT">'1.3 Расходы'!$C$9</definedName>
    <definedName name="QT_C">'1.3 Расходы'!$C$10</definedName>
    <definedName name="P_TOT">'1.3 Расходы'!$C$11</definedName>
    <definedName name="P_C">'1.3 Расходы'!$C$12</definedName>
    <definedName name="NP_TOT">'1.3 Расходы'!$C$13</definedName>
    <definedName name="A_TOT">'1.3 Расходы'!$C$14</definedName>
    <definedName name="Q_TOT">'1.3 Расходы'!$C$15</definedName>
    <definedName name="NP_C">'1.3 Расходы'!$C$16</definedName>
    <definedName name="A_C">'1.3 Расходы'!$C$17</definedName>
    <definedName name="Q_C">'1.3 Расходы'!$C$18</definedName>
    <definedName name="PHR_TOT">'1.3 Расходы'!$C$19</definedName>
    <definedName name="AHR_TOT">'1.3 Расходы'!$C$20</definedName>
    <definedName name="QHR_TOT_">'1.3 Расходы'!$C$21</definedName>
    <definedName name="PHR_C">'1.3 Расходы'!$C$22</definedName>
    <definedName name="AHR_C">'1.3 Расходы'!$C$23</definedName>
    <definedName name="QHR_C_">'1.3 Расходы'!$C$24</definedName>
    <definedName name="SUM_H">'1.4 Гидравлика В1'!$N$23</definedName>
    <definedName name="VGP_DN">'1.4 Гидравлика В1'!$P$4:$P$12</definedName>
    <definedName name="VGP_D">'1.4 Гидравлика В1'!$Q$4:$Q$12</definedName>
    <definedName name="PPR_DN">'1.4 Гидравлика В1'!$S$4:$S$8</definedName>
    <definedName name="PPR_D">'1.4 Гидравлика В1'!$T$4:$T$8</definedName>
    <definedName name="VV_Q">'1.5 Ввод'!$B$4</definedName>
    <definedName name="VV_DN">'1.5 Ввод'!$B$5</definedName>
    <definedName name="VV_D">'1.5 Ввод'!$B$6</definedName>
    <definedName name="VV_DELTA">'1.5 Ввод'!$B$7</definedName>
    <definedName name="VV_NU">'1.5 Ввод'!$B$8</definedName>
    <definedName name="VV_V">'1.5 Ввод'!$B$9</definedName>
    <definedName name="VV_RE">'1.5 Ввод'!$B$10</definedName>
    <definedName name="VV_LAM">'1.5 Ввод'!$B$19</definedName>
    <definedName name="VV_I">'1.5 Ввод'!$B$20</definedName>
    <definedName name="H_VVOD">'1.5 Ввод'!$B$21</definedName>
    <definedName name="H_SCH">'1.6 Счётчики'!$F$6</definedName>
    <definedName name="Z_GOR">'1.7 Напор'!$C$4</definedName>
    <definedName name="Z_DIKT">'1.7 Напор'!$C$5</definedName>
    <definedName name="H_GEOM">'1.7 Напор'!$C$6</definedName>
    <definedName name="H_SUMH">'1.7 Напор'!$C$7</definedName>
    <definedName name="H_SV_">'1.7 Напор'!$C$8</definedName>
    <definedName name="H_SCH_">'1.7 Напор'!$C$9</definedName>
    <definedName name="H_VVOD_">'1.7 Напор'!$C$10</definedName>
    <definedName name="H_TR">'1.7 Напор'!$C$11</definedName>
    <definedName name="H_RAB">'1.7 Напор'!$C$12</definedName>
    <definedName name="Q_NAS">'1.7 Напор'!$C$13</definedName>
    <definedName name="N_POL">'1.7 Напор'!$C$14</definedName>
    <definedName name="K1_IL_0">'2.2 Горизонт. К1'!$N$4</definedName>
    <definedName name="K1_I_0">'2.2 Горизонт. К1'!$J$4</definedName>
    <definedName name="K1_IL_1">'2.2 Горизонт. К1'!$N$5</definedName>
    <definedName name="K1_I_1">'2.2 Горизонт. К1'!$J$5</definedName>
    <definedName name="K1_IL_2">'2.2 Горизонт. К1'!$N$6</definedName>
    <definedName name="K1_I_2">'2.2 Горизонт. К1'!$J$6</definedName>
    <definedName name="K1_IL_3">'2.2 Горизонт. К1'!$N$7</definedName>
    <definedName name="K1_I_3">'2.2 Горизонт. К1'!$J$7</definedName>
    <definedName name="K1_IL_4">'2.2 Горизонт. К1'!$N$8</definedName>
    <definedName name="K1_I_4">'2.2 Горизонт. К1'!$J$8</definedName>
    <definedName name="K1_IL_5">'2.2 Горизонт. К1'!$N$9</definedName>
    <definedName name="K1_I_5">'2.2 Горизонт. К1'!$J$9</definedName>
    <definedName name="K1_IL_6">'2.2 Горизонт. К1'!$N$10</definedName>
    <definedName name="K1_I_6">'2.2 Горизонт. К1'!$J$10</definedName>
    <definedName name="K1_IL_7">'2.2 Горизонт. К1'!$N$11</definedName>
    <definedName name="K1_I_7">'2.2 Горизонт. К1'!$J$11</definedName>
    <definedName name="H0_MIN">'2.3 Отметки'!$C$12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##"/>
    <numFmt numFmtId="167" formatCode="0.00000"/>
    <numFmt numFmtId="168" formatCode="0.0000"/>
  </numFmts>
  <fonts count="6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i val="1"/>
      <color rgb="00595959"/>
      <sz val="9"/>
    </font>
    <font>
      <name val="Times New Roman"/>
      <b val="1"/>
      <sz val="11"/>
    </font>
    <font>
      <name val="Times New Roman"/>
      <sz val="11"/>
    </font>
    <font>
      <name val="Times New Roman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A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1" fontId="4" fillId="0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8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11" fontId="5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Таблицы расчёта курсового проекта «Водоснабжение и водоотведение жилого здания», вариант 3</t>
        </is>
      </c>
    </row>
    <row r="2">
      <c r="A2" s="2" t="inlineStr">
        <is>
          <t>Буев Даниил Романович, ИГЭС 3-8. Номера таблиц — как в пояснительной записке.</t>
        </is>
      </c>
    </row>
    <row r="4">
      <c r="A4" s="3" t="inlineStr">
        <is>
          <t>1.1 Исходные</t>
        </is>
      </c>
      <c r="B4" s="4" t="inlineStr">
        <is>
          <t>Таблица 1.1. Исходные данные (задание) и принятые допущения — жёлтые ячейки можно менять</t>
        </is>
      </c>
    </row>
    <row r="5">
      <c r="A5" s="3" t="inlineStr">
        <is>
          <t>1.2 Нормы</t>
        </is>
      </c>
      <c r="B5" s="4" t="inlineStr">
        <is>
          <t>Таблица 1.2. Нормы расхода воды (табл. А.2 СП 30.13330.2020)</t>
        </is>
      </c>
    </row>
    <row r="6">
      <c r="A6" s="3" t="inlineStr">
        <is>
          <t>1.3 Расходы</t>
        </is>
      </c>
      <c r="B6" s="4" t="inlineStr">
        <is>
          <t>Таблица 1.3. Расчётные расходы воды: U, N, суточные, среднечасовые, секундные, часовые</t>
        </is>
      </c>
    </row>
    <row r="7">
      <c r="A7" s="3" t="inlineStr">
        <is>
          <t>1.4 Гидравлика В1</t>
        </is>
      </c>
      <c r="B7" s="4" t="inlineStr">
        <is>
          <t>Таблица 1.4. Гидравлический расчёт сети В1 по диктующему направлению (Шевелёв)</t>
        </is>
      </c>
    </row>
    <row r="8">
      <c r="A8" s="3" t="inlineStr">
        <is>
          <t>1.5 Ввод</t>
        </is>
      </c>
      <c r="B8" s="4" t="inlineStr">
        <is>
          <t>Расчёт ввода (ПЭ100 SDR17, Колбрук–Уайт)</t>
        </is>
      </c>
    </row>
    <row r="9">
      <c r="A9" s="3" t="inlineStr">
        <is>
          <t>1.6 Счётчики</t>
        </is>
      </c>
      <c r="B9" s="4" t="inlineStr">
        <is>
          <t>Таблица 1.5. Подбор счётчиков воды</t>
        </is>
      </c>
    </row>
    <row r="10">
      <c r="A10" s="3" t="inlineStr">
        <is>
          <t>1.7 Напор</t>
        </is>
      </c>
      <c r="B10" s="4" t="inlineStr">
        <is>
          <t>Требуемый напор, напор установки, регуляторы давления по этажам</t>
        </is>
      </c>
    </row>
    <row r="11">
      <c r="A11" s="3" t="inlineStr">
        <is>
          <t>1.8 Насос</t>
        </is>
      </c>
      <c r="B11" s="4" t="inlineStr">
        <is>
          <t>Таблица 1.6. Подбор насоса Wilo MVL (напор по кривым каталога)</t>
        </is>
      </c>
    </row>
    <row r="12">
      <c r="A12" s="3" t="inlineStr">
        <is>
          <t>2.1 Стояки К1</t>
        </is>
      </c>
      <c r="B12" s="4" t="inlineStr">
        <is>
          <t>Таблица 2.1. Пропускная способность стояков К1</t>
        </is>
      </c>
    </row>
    <row r="13">
      <c r="A13" s="3" t="inlineStr">
        <is>
          <t>2.2 Горизонт. К1</t>
        </is>
      </c>
      <c r="B13" s="4" t="inlineStr">
        <is>
          <t>Таблица 2.2. Расчёт горизонтальных участков К1 и дворовой сети</t>
        </is>
      </c>
    </row>
    <row r="14">
      <c r="A14" s="3" t="inlineStr">
        <is>
          <t>2.3 Отметки</t>
        </is>
      </c>
      <c r="B14" s="4" t="inlineStr">
        <is>
          <t>Таблица 2.3. Отметки лотков и глубина колодцев дворовой сети</t>
        </is>
      </c>
    </row>
    <row r="15">
      <c r="A15" s="3" t="inlineStr">
        <is>
          <t>Табл. Б.2</t>
        </is>
      </c>
      <c r="B15" s="4" t="inlineStr">
        <is>
          <t>Справочно: табл. Б.2 СП 30.13330.2020 (NP → α)</t>
        </is>
      </c>
    </row>
    <row r="17">
      <c r="A17" s="5" t="inlineStr">
        <is>
          <t>Обозначения: жёлтые ячейки — исходные данные (синий шрифт); зелёные — результаты; остальное — формулы. Табличные величины (K_s, h/d и V по Лукиным, напор насосов по кривым) внесены числами из расчёта и подписаны.</t>
        </is>
      </c>
    </row>
    <row r="18"/>
  </sheetData>
  <mergeCells count="1">
    <mergeCell ref="A17:B1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100"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14" customWidth="1" min="3" max="3"/>
    <col width="12" customWidth="1" min="4" max="4"/>
  </cols>
  <sheetData>
    <row r="1">
      <c r="A1" s="6" t="inlineStr">
        <is>
          <t>Таблица 1.1. Исходные данные (вариант 3) и принятые допущения</t>
        </is>
      </c>
    </row>
    <row r="3" ht="32" customHeight="1">
      <c r="A3" s="7" t="inlineStr">
        <is>
          <t>№</t>
        </is>
      </c>
      <c r="B3" s="7" t="inlineStr">
        <is>
          <t>Показатель</t>
        </is>
      </c>
      <c r="C3" s="7" t="inlineStr">
        <is>
          <t>Значение</t>
        </is>
      </c>
      <c r="D3" s="7" t="inlineStr">
        <is>
          <t>Ед. изм.</t>
        </is>
      </c>
    </row>
    <row r="4">
      <c r="A4" s="8" t="n">
        <v>1</v>
      </c>
      <c r="B4" s="4" t="inlineStr">
        <is>
          <t>Этажность</t>
        </is>
      </c>
      <c r="C4" s="9" t="n">
        <v>11</v>
      </c>
      <c r="D4" s="4" t="inlineStr">
        <is>
          <t>эт.</t>
        </is>
      </c>
    </row>
    <row r="5">
      <c r="A5" s="8" t="n">
        <v>2</v>
      </c>
      <c r="B5" s="4" t="inlineStr">
        <is>
          <t>Количество секций</t>
        </is>
      </c>
      <c r="C5" s="9" t="n">
        <v>2</v>
      </c>
      <c r="D5" s="4" t="inlineStr">
        <is>
          <t>шт.</t>
        </is>
      </c>
    </row>
    <row r="6">
      <c r="A6" s="8" t="n">
        <v>3</v>
      </c>
      <c r="B6" s="4" t="inlineStr">
        <is>
          <t>Высота этажа</t>
        </is>
      </c>
      <c r="C6" s="10" t="n">
        <v>3.2</v>
      </c>
      <c r="D6" s="4" t="inlineStr">
        <is>
          <t>м</t>
        </is>
      </c>
    </row>
    <row r="7">
      <c r="A7" s="8" t="n">
        <v>4</v>
      </c>
      <c r="B7" s="4" t="inlineStr">
        <is>
          <t>Заселённость</t>
        </is>
      </c>
      <c r="C7" s="10" t="n">
        <v>3.8</v>
      </c>
      <c r="D7" s="4" t="inlineStr">
        <is>
          <t>чел./кв.</t>
        </is>
      </c>
    </row>
    <row r="8">
      <c r="A8" s="8" t="n">
        <v>5</v>
      </c>
      <c r="B8" s="4" t="inlineStr">
        <is>
          <t>Высота подвала</t>
        </is>
      </c>
      <c r="C8" s="10" t="n">
        <v>3</v>
      </c>
      <c r="D8" s="4" t="inlineStr">
        <is>
          <t>м</t>
        </is>
      </c>
    </row>
    <row r="9">
      <c r="A9" s="8" t="n">
        <v>6</v>
      </c>
      <c r="B9" s="4" t="inlineStr">
        <is>
          <t>Высота пола 1-го этажа над планировкой</t>
        </is>
      </c>
      <c r="C9" s="10" t="n">
        <v>0.3</v>
      </c>
      <c r="D9" s="4" t="inlineStr">
        <is>
          <t>м</t>
        </is>
      </c>
    </row>
    <row r="10">
      <c r="A10" s="8" t="n">
        <v>7</v>
      </c>
      <c r="B10" s="4" t="inlineStr">
        <is>
          <t>Толщина перекрытий</t>
        </is>
      </c>
      <c r="C10" s="10" t="n">
        <v>0.3</v>
      </c>
      <c r="D10" s="4" t="inlineStr">
        <is>
          <t>м</t>
        </is>
      </c>
    </row>
    <row r="11">
      <c r="A11" s="8" t="n">
        <v>8</v>
      </c>
      <c r="B11" s="4" t="inlineStr">
        <is>
          <t>Глубина промерзания грунта</t>
        </is>
      </c>
      <c r="C11" s="10" t="n">
        <v>1.7</v>
      </c>
      <c r="D11" s="4" t="inlineStr">
        <is>
          <t>м</t>
        </is>
      </c>
    </row>
    <row r="12">
      <c r="A12" s="8" t="n">
        <v>9</v>
      </c>
      <c r="B12" s="4" t="inlineStr">
        <is>
          <t>Гарантийный напор в наружной сети</t>
        </is>
      </c>
      <c r="C12" s="10" t="n">
        <v>14</v>
      </c>
      <c r="D12" s="4" t="inlineStr">
        <is>
          <t>м</t>
        </is>
      </c>
    </row>
    <row r="13">
      <c r="A13" s="8" t="n">
        <v>10</v>
      </c>
      <c r="B13" s="4" t="inlineStr">
        <is>
          <t>Диаметр городского водопровода</t>
        </is>
      </c>
      <c r="C13" s="9" t="n">
        <v>250</v>
      </c>
      <c r="D13" s="4" t="inlineStr">
        <is>
          <t>мм</t>
        </is>
      </c>
    </row>
    <row r="14">
      <c r="A14" s="8" t="n">
        <v>11</v>
      </c>
      <c r="B14" s="4" t="inlineStr">
        <is>
          <t>Диаметр городской канализации</t>
        </is>
      </c>
      <c r="C14" s="9" t="n">
        <v>400</v>
      </c>
      <c r="D14" s="4" t="inlineStr">
        <is>
          <t>мм</t>
        </is>
      </c>
    </row>
    <row r="15">
      <c r="A15" s="8" t="n">
        <v>12</v>
      </c>
      <c r="B15" s="4" t="inlineStr">
        <is>
          <t>Квартир на этаже в секции (по плану — 3 санузла)</t>
        </is>
      </c>
      <c r="C15" s="9" t="n">
        <v>3</v>
      </c>
      <c r="D15" s="4" t="inlineStr">
        <is>
          <t>шт.</t>
        </is>
      </c>
    </row>
    <row r="16">
      <c r="A16" s="8" t="n">
        <v>13</v>
      </c>
      <c r="B16" s="4" t="inlineStr">
        <is>
          <t>Приборов в квартире (мойка, умывальник, ванна, унитаз)</t>
        </is>
      </c>
      <c r="C16" s="9" t="n">
        <v>4</v>
      </c>
      <c r="D16" s="4" t="inlineStr">
        <is>
          <t>шт.</t>
        </is>
      </c>
    </row>
    <row r="17">
      <c r="A17" s="8" t="n">
        <v>14</v>
      </c>
      <c r="B17" s="4" t="inlineStr">
        <is>
          <t>Коэффициент местных сопротивлений K_l (хоз.-питьевой, жилое здание)</t>
        </is>
      </c>
      <c r="C17" s="11" t="n">
        <v>0.3</v>
      </c>
      <c r="D17" s="4" t="inlineStr">
        <is>
          <t>—</t>
        </is>
      </c>
    </row>
    <row r="18">
      <c r="A18" s="8" t="n">
        <v>15</v>
      </c>
      <c r="B18" s="4" t="inlineStr">
        <is>
          <t>Свободный напор у верхнего прибора (п. 8.21 СП 30)</t>
        </is>
      </c>
      <c r="C18" s="10" t="n">
        <v>20</v>
      </c>
      <c r="D18" s="4" t="inlineStr">
        <is>
          <t>м</t>
        </is>
      </c>
    </row>
    <row r="19">
      <c r="A19" s="8" t="n">
        <v>16</v>
      </c>
      <c r="B19" s="4" t="inlineStr">
        <is>
          <t>Высота диктующего прибора над полом (душевая сетка над ванной)</t>
        </is>
      </c>
      <c r="C19" s="11" t="n">
        <v>1.95</v>
      </c>
      <c r="D19" s="4" t="inlineStr">
        <is>
          <t>м</t>
        </is>
      </c>
    </row>
    <row r="20">
      <c r="A20" s="8" t="n">
        <v>17</v>
      </c>
      <c r="B20" s="4" t="inlineStr">
        <is>
          <t>Отметка земли у ГВК (отн.)</t>
        </is>
      </c>
      <c r="C20" s="12" t="n">
        <v>-0.5</v>
      </c>
      <c r="D20" s="4" t="inlineStr">
        <is>
          <t>м</t>
        </is>
      </c>
    </row>
    <row r="21">
      <c r="A21" s="8" t="n">
        <v>18</v>
      </c>
      <c r="B21" s="4" t="inlineStr">
        <is>
          <t>Длина ввода: 16,5 + 6,5 до стены + 2,0 по подвалу</t>
        </is>
      </c>
      <c r="C21" s="10" t="n">
        <v>25</v>
      </c>
      <c r="D21" s="4" t="inlineStr">
        <is>
          <t>м</t>
        </is>
      </c>
    </row>
    <row r="22">
      <c r="A22" s="8" t="n">
        <v>19</v>
      </c>
      <c r="B22" s="4" t="inlineStr">
        <is>
          <t>Абсолютная отметка 0,000</t>
        </is>
      </c>
      <c r="C22" s="11" t="n">
        <v>101</v>
      </c>
      <c r="D22" s="4" t="inlineStr">
        <is>
          <t>м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10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Таблица 1.2. Нормы расхода воды (табл. А.2 СП 30.13330.2020, жилые дома с ваннами 1500–1700 мм с душами)</t>
        </is>
      </c>
    </row>
    <row r="3" ht="32" customHeight="1">
      <c r="A3" s="7" t="inlineStr">
        <is>
          <t>Норма</t>
        </is>
      </c>
      <c r="B3" s="7" t="inlineStr">
        <is>
          <t>общая (tot)</t>
        </is>
      </c>
      <c r="C3" s="7" t="inlineStr">
        <is>
          <t>горячей (h)</t>
        </is>
      </c>
      <c r="D3" s="7" t="inlineStr">
        <is>
          <t>холодной (c)</t>
        </is>
      </c>
    </row>
    <row r="4">
      <c r="A4" s="4" t="inlineStr">
        <is>
          <t>q_u — в сутки наибольшего водопотребления, л/сут на 1 жителя</t>
        </is>
      </c>
      <c r="B4" s="13" t="n">
        <v>180</v>
      </c>
      <c r="C4" s="13" t="n">
        <v>70</v>
      </c>
      <c r="D4" s="14">
        <f>B4-C4</f>
        <v/>
      </c>
    </row>
    <row r="5">
      <c r="A5" s="4" t="inlineStr">
        <is>
          <t>q_hr,u — в час наибольшего водопотребления, л/ч на 1 жителя</t>
        </is>
      </c>
      <c r="B5" s="13" t="n">
        <v>11.6</v>
      </c>
      <c r="C5" s="13" t="n">
        <v>6.5</v>
      </c>
      <c r="D5" s="14">
        <f>B5-C5</f>
        <v/>
      </c>
    </row>
    <row r="6">
      <c r="A6" s="4" t="inlineStr">
        <is>
          <t>q_0 — секундный расход прибором, л/с</t>
        </is>
      </c>
      <c r="B6" s="13" t="n">
        <v>0.3</v>
      </c>
      <c r="C6" s="13" t="n">
        <v>0.2</v>
      </c>
      <c r="D6" s="14">
        <f>C6</f>
        <v/>
      </c>
    </row>
    <row r="7">
      <c r="A7" s="4" t="inlineStr">
        <is>
          <t>q_0,hr — часовой расход прибором, л/ч</t>
        </is>
      </c>
      <c r="B7" s="13" t="n">
        <v>300</v>
      </c>
      <c r="C7" s="13" t="n">
        <v>200</v>
      </c>
      <c r="D7" s="14">
        <f>C7</f>
        <v/>
      </c>
    </row>
    <row r="8">
      <c r="A8" s="4" t="inlineStr">
        <is>
          <t>T — время водопотребления, ч</t>
        </is>
      </c>
      <c r="B8" s="13" t="n">
        <v>24</v>
      </c>
      <c r="C8" s="13" t="n">
        <v>24</v>
      </c>
      <c r="D8" s="14">
        <f>C8</f>
        <v/>
      </c>
    </row>
    <row r="10">
      <c r="A10" s="15" t="inlineStr">
        <is>
          <t>q_0 и q_0,hr холодной и горячей воды в табл. А.2 — одна графа; c = tot − h для суточной и часовой норм на жителя.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zoomScale="100"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15" customWidth="1" min="3" max="3"/>
    <col width="12" customWidth="1" min="4" max="4"/>
  </cols>
  <sheetData>
    <row r="1">
      <c r="A1" s="6" t="inlineStr">
        <is>
          <t>Таблица 1.3. Расчётные расходы воды (п. 5 СП 30.13330.2020)</t>
        </is>
      </c>
    </row>
    <row r="3" ht="32" customHeight="1">
      <c r="A3" s="7" t="inlineStr">
        <is>
          <t>Величина</t>
        </is>
      </c>
      <c r="B3" s="7" t="inlineStr">
        <is>
          <t>Формула</t>
        </is>
      </c>
      <c r="C3" s="7" t="inlineStr">
        <is>
          <t>Значение</t>
        </is>
      </c>
      <c r="D3" s="7" t="inlineStr">
        <is>
          <t>Ед. изм.</t>
        </is>
      </c>
    </row>
    <row r="4">
      <c r="A4" s="4" t="inlineStr">
        <is>
          <t>Квартир в здании n_кв</t>
        </is>
      </c>
      <c r="B4" s="4" t="inlineStr">
        <is>
          <t>n_эт·n_сек·n_кв.эт</t>
        </is>
      </c>
      <c r="C4" s="16">
        <f>N_ET*N_SEK*NKV_SEK</f>
        <v/>
      </c>
      <c r="D4" s="4" t="inlineStr">
        <is>
          <t>шт.</t>
        </is>
      </c>
    </row>
    <row r="5">
      <c r="A5" s="4" t="inlineStr">
        <is>
          <t>Число жителей U (округление вверх)</t>
        </is>
      </c>
      <c r="B5" s="4" t="inlineStr">
        <is>
          <t>U₀·n_кв</t>
        </is>
      </c>
      <c r="C5" s="17">
        <f>ROUNDUP(U_ZAS*N_KV-1E-9,0)</f>
        <v/>
      </c>
      <c r="D5" s="4" t="inlineStr">
        <is>
          <t>чел.</t>
        </is>
      </c>
    </row>
    <row r="6">
      <c r="A6" s="4" t="inlineStr">
        <is>
          <t>Число приборов N</t>
        </is>
      </c>
      <c r="B6" s="4" t="inlineStr">
        <is>
          <t>n_пр·n_кв</t>
        </is>
      </c>
      <c r="C6" s="17">
        <f>N_PR*N_KV</f>
        <v/>
      </c>
      <c r="D6" s="4" t="inlineStr">
        <is>
          <t>шт.</t>
        </is>
      </c>
    </row>
    <row r="7">
      <c r="A7" s="4" t="inlineStr">
        <is>
          <t>Суточный общий Q_сут^tot</t>
        </is>
      </c>
      <c r="B7" s="4" t="inlineStr">
        <is>
          <t>q_u^tot·U/1000</t>
        </is>
      </c>
      <c r="C7" s="18">
        <f>QU_TOT*U_/1000</f>
        <v/>
      </c>
      <c r="D7" s="4" t="inlineStr">
        <is>
          <t>м³/сут</t>
        </is>
      </c>
    </row>
    <row r="8">
      <c r="A8" s="4" t="inlineStr">
        <is>
          <t>Суточный холодной Q_сут^c</t>
        </is>
      </c>
      <c r="B8" s="4" t="inlineStr">
        <is>
          <t>q_u^c·U/1000</t>
        </is>
      </c>
      <c r="C8" s="18">
        <f>QU_C*U_/1000</f>
        <v/>
      </c>
      <c r="D8" s="4" t="inlineStr">
        <is>
          <t>м³/сут</t>
        </is>
      </c>
    </row>
    <row r="9">
      <c r="A9" s="4" t="inlineStr">
        <is>
          <t>Среднечасовой общий q_T^tot</t>
        </is>
      </c>
      <c r="B9" s="4" t="inlineStr">
        <is>
          <t>Q_сут^tot/T</t>
        </is>
      </c>
      <c r="C9" s="19">
        <f>QSUT_TOT/T_CH_TOT</f>
        <v/>
      </c>
      <c r="D9" s="4" t="inlineStr">
        <is>
          <t>м³/ч</t>
        </is>
      </c>
    </row>
    <row r="10">
      <c r="A10" s="4" t="inlineStr">
        <is>
          <t>Среднечасовой холодной q_T^c</t>
        </is>
      </c>
      <c r="B10" s="4" t="inlineStr">
        <is>
          <t>Q_сут^c/T</t>
        </is>
      </c>
      <c r="C10" s="19">
        <f>QSUT_C/T_CH_TOT</f>
        <v/>
      </c>
      <c r="D10" s="4" t="inlineStr">
        <is>
          <t>м³/ч</t>
        </is>
      </c>
    </row>
    <row r="11">
      <c r="A11" s="4" t="inlineStr">
        <is>
          <t>Вероятность действия P^tot</t>
        </is>
      </c>
      <c r="B11" s="4" t="inlineStr">
        <is>
          <t>q_hr,u^tot·U/(3600·q_0^tot·N)</t>
        </is>
      </c>
      <c r="C11" s="20">
        <f>QHR_TOT*U_/(3600*Q0_TOT*N_)</f>
        <v/>
      </c>
      <c r="D11" s="4" t="inlineStr">
        <is>
          <t>—</t>
        </is>
      </c>
    </row>
    <row r="12">
      <c r="A12" s="4" t="inlineStr">
        <is>
          <t>Вероятность действия P^c</t>
        </is>
      </c>
      <c r="B12" s="4" t="inlineStr">
        <is>
          <t>q_hr,u^c·U/(3600·q_0^c·N)</t>
        </is>
      </c>
      <c r="C12" s="20">
        <f>QHR_C*U_/(3600*Q0_C*N_)</f>
        <v/>
      </c>
      <c r="D12" s="4" t="inlineStr">
        <is>
          <t>—</t>
        </is>
      </c>
    </row>
    <row r="13">
      <c r="A13" s="4" t="inlineStr">
        <is>
          <t>NP^tot</t>
        </is>
      </c>
      <c r="B13" s="4" t="inlineStr">
        <is>
          <t>N·P^tot</t>
        </is>
      </c>
      <c r="C13" s="19">
        <f>N_*P_TOT</f>
        <v/>
      </c>
      <c r="D13" s="4" t="inlineStr">
        <is>
          <t>—</t>
        </is>
      </c>
    </row>
    <row r="14">
      <c r="A14" s="4" t="inlineStr">
        <is>
          <t>α^tot (табл. Б.2, интерполяция)</t>
        </is>
      </c>
      <c r="B14" s="4" t="inlineStr">
        <is>
          <t>f(NP^tot)</t>
        </is>
      </c>
      <c r="C14" s="19">
        <f>IF(NP_TOT&lt;0.015,0.2,INDEX(B2_A,MATCH(NP_TOT,B2_NP,1))+(NP_TOT-INDEX(B2_NP,MATCH(NP_TOT,B2_NP,1)))*(INDEX(B2_A,MATCH(NP_TOT,B2_NP,1)+1)-INDEX(B2_A,MATCH(NP_TOT,B2_NP,1)))/(INDEX(B2_NP,MATCH(NP_TOT,B2_NP,1)+1)-INDEX(B2_NP,MATCH(NP_TOT,B2_NP,1))))</f>
        <v/>
      </c>
      <c r="D14" s="4" t="inlineStr">
        <is>
          <t>—</t>
        </is>
      </c>
    </row>
    <row r="15">
      <c r="A15" s="4" t="inlineStr">
        <is>
          <t>Максимальный секундный общий q^tot</t>
        </is>
      </c>
      <c r="B15" s="4" t="inlineStr">
        <is>
          <t>5·q_0^tot·α^tot</t>
        </is>
      </c>
      <c r="C15" s="21">
        <f>5*Q0_TOT*A_TOT</f>
        <v/>
      </c>
      <c r="D15" s="4" t="inlineStr">
        <is>
          <t>л/с</t>
        </is>
      </c>
    </row>
    <row r="16">
      <c r="A16" s="4" t="inlineStr">
        <is>
          <t>NP^c</t>
        </is>
      </c>
      <c r="B16" s="4" t="inlineStr">
        <is>
          <t>N·P^c</t>
        </is>
      </c>
      <c r="C16" s="19">
        <f>N_*P_C</f>
        <v/>
      </c>
      <c r="D16" s="4" t="inlineStr">
        <is>
          <t>—</t>
        </is>
      </c>
    </row>
    <row r="17">
      <c r="A17" s="4" t="inlineStr">
        <is>
          <t>α^c</t>
        </is>
      </c>
      <c r="B17" s="4" t="inlineStr">
        <is>
          <t>f(NP^c)</t>
        </is>
      </c>
      <c r="C17" s="19">
        <f>IF(NP_C&lt;0.015,0.2,INDEX(B2_A,MATCH(NP_C,B2_NP,1))+(NP_C-INDEX(B2_NP,MATCH(NP_C,B2_NP,1)))*(INDEX(B2_A,MATCH(NP_C,B2_NP,1)+1)-INDEX(B2_A,MATCH(NP_C,B2_NP,1)))/(INDEX(B2_NP,MATCH(NP_C,B2_NP,1)+1)-INDEX(B2_NP,MATCH(NP_C,B2_NP,1))))</f>
        <v/>
      </c>
      <c r="D17" s="4" t="inlineStr">
        <is>
          <t>—</t>
        </is>
      </c>
    </row>
    <row r="18">
      <c r="A18" s="4" t="inlineStr">
        <is>
          <t>Максимальный секундный холодной q^c</t>
        </is>
      </c>
      <c r="B18" s="4" t="inlineStr">
        <is>
          <t>5·q_0^c·α^c</t>
        </is>
      </c>
      <c r="C18" s="21">
        <f>5*Q0_C*A_C</f>
        <v/>
      </c>
      <c r="D18" s="4" t="inlineStr">
        <is>
          <t>л/с</t>
        </is>
      </c>
    </row>
    <row r="19">
      <c r="A19" s="4" t="inlineStr">
        <is>
          <t>Часовая вероятность P_hr^tot</t>
        </is>
      </c>
      <c r="B19" s="4" t="inlineStr">
        <is>
          <t>3600·P^tot·q_0^tot/q_0,hr^tot</t>
        </is>
      </c>
      <c r="C19" s="20">
        <f>3600*P_TOT*Q0_TOT/Q0HR_TOT</f>
        <v/>
      </c>
      <c r="D19" s="4" t="inlineStr">
        <is>
          <t>—</t>
        </is>
      </c>
    </row>
    <row r="20">
      <c r="A20" s="4" t="inlineStr">
        <is>
          <t>α_hr^tot</t>
        </is>
      </c>
      <c r="B20" s="4" t="inlineStr">
        <is>
          <t>f(N·P_hr^tot)</t>
        </is>
      </c>
      <c r="C20" s="19">
        <f>IF((N_*PHR_TOT)&lt;0.015,0.2,INDEX(B2_A,MATCH((N_*PHR_TOT),B2_NP,1))+((N_*PHR_TOT)-INDEX(B2_NP,MATCH((N_*PHR_TOT),B2_NP,1)))*(INDEX(B2_A,MATCH((N_*PHR_TOT),B2_NP,1)+1)-INDEX(B2_A,MATCH((N_*PHR_TOT),B2_NP,1)))/(INDEX(B2_NP,MATCH((N_*PHR_TOT),B2_NP,1)+1)-INDEX(B2_NP,MATCH((N_*PHR_TOT),B2_NP,1))))</f>
        <v/>
      </c>
      <c r="D20" s="4" t="inlineStr">
        <is>
          <t>—</t>
        </is>
      </c>
    </row>
    <row r="21">
      <c r="A21" s="4" t="inlineStr">
        <is>
          <t>Максимальный часовой общий q_hr^tot</t>
        </is>
      </c>
      <c r="B21" s="4" t="inlineStr">
        <is>
          <t>0,005·q_0,hr^tot·α_hr^tot</t>
        </is>
      </c>
      <c r="C21" s="21">
        <f>0.005*Q0HR_TOT*AHR_TOT</f>
        <v/>
      </c>
      <c r="D21" s="4" t="inlineStr">
        <is>
          <t>м³/ч</t>
        </is>
      </c>
    </row>
    <row r="22">
      <c r="A22" s="4" t="inlineStr">
        <is>
          <t>Часовая вероятность P_hr^c</t>
        </is>
      </c>
      <c r="B22" s="4" t="inlineStr">
        <is>
          <t>3600·P^c·q_0^c/q_0,hr^c</t>
        </is>
      </c>
      <c r="C22" s="20">
        <f>3600*P_C*Q0_C/Q0HR_C</f>
        <v/>
      </c>
      <c r="D22" s="4" t="inlineStr">
        <is>
          <t>—</t>
        </is>
      </c>
    </row>
    <row r="23">
      <c r="A23" s="4" t="inlineStr">
        <is>
          <t>α_hr^c</t>
        </is>
      </c>
      <c r="B23" s="4" t="inlineStr">
        <is>
          <t>f(N·P_hr^c)</t>
        </is>
      </c>
      <c r="C23" s="19">
        <f>IF((N_*PHR_C)&lt;0.015,0.2,INDEX(B2_A,MATCH((N_*PHR_C),B2_NP,1))+((N_*PHR_C)-INDEX(B2_NP,MATCH((N_*PHR_C),B2_NP,1)))*(INDEX(B2_A,MATCH((N_*PHR_C),B2_NP,1)+1)-INDEX(B2_A,MATCH((N_*PHR_C),B2_NP,1)))/(INDEX(B2_NP,MATCH((N_*PHR_C),B2_NP,1)+1)-INDEX(B2_NP,MATCH((N_*PHR_C),B2_NP,1))))</f>
        <v/>
      </c>
      <c r="D23" s="4" t="inlineStr">
        <is>
          <t>—</t>
        </is>
      </c>
    </row>
    <row r="24">
      <c r="A24" s="4" t="inlineStr">
        <is>
          <t>Максимальный часовой холодной q_hr^c</t>
        </is>
      </c>
      <c r="B24" s="4" t="inlineStr">
        <is>
          <t>0,005·q_0,hr^c·α_hr^c</t>
        </is>
      </c>
      <c r="C24" s="21">
        <f>0.005*Q0HR_C*AHR_C</f>
        <v/>
      </c>
      <c r="D24" s="4" t="inlineStr">
        <is>
          <t>м³/ч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26"/>
  <sheetViews>
    <sheetView showGridLines="0" zoomScale="10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7" customWidth="1" min="4" max="4"/>
    <col width="11" customWidth="1" min="5" max="5"/>
    <col width="9" customWidth="1" min="6" max="6"/>
    <col width="9" customWidth="1" min="7" max="7"/>
    <col width="9" customWidth="1" min="8" max="8"/>
    <col width="7" customWidth="1" min="9" max="9"/>
    <col width="10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0" customWidth="1" min="17" max="17"/>
    <col width="3" customWidth="1" min="18" max="18"/>
    <col width="7" customWidth="1" min="19" max="19"/>
    <col width="10" customWidth="1" min="20" max="20"/>
  </cols>
  <sheetData>
    <row r="1">
      <c r="A1" s="6" t="inlineStr">
        <is>
          <t>Таблица 1.4. Гидравлический расчёт сети В1 по диктующему направлению (стояк Ст.В1-5, душевая сетка 11-го этажа)</t>
        </is>
      </c>
    </row>
    <row r="3" ht="32" customHeight="1">
      <c r="A3" s="7" t="inlineStr">
        <is>
          <t>Уча-сток</t>
        </is>
      </c>
      <c r="B3" s="7" t="inlineStr">
        <is>
          <t>Наименование</t>
        </is>
      </c>
      <c r="C3" s="7" t="inlineStr">
        <is>
          <t>L, м</t>
        </is>
      </c>
      <c r="D3" s="7" t="inlineStr">
        <is>
          <t>N</t>
        </is>
      </c>
      <c r="E3" s="7" t="inlineStr">
        <is>
          <t>P^c</t>
        </is>
      </c>
      <c r="F3" s="7" t="inlineStr">
        <is>
          <t>NP</t>
        </is>
      </c>
      <c r="G3" s="7" t="inlineStr">
        <is>
          <t>α</t>
        </is>
      </c>
      <c r="H3" s="7" t="inlineStr">
        <is>
          <t>q, л/с</t>
        </is>
      </c>
      <c r="I3" s="7" t="inlineStr">
        <is>
          <t>DN</t>
        </is>
      </c>
      <c r="J3" s="7" t="inlineStr">
        <is>
          <t>d_р, мм</t>
        </is>
      </c>
      <c r="K3" s="7" t="inlineStr">
        <is>
          <t>v, м/с</t>
        </is>
      </c>
      <c r="L3" s="7" t="inlineStr">
        <is>
          <t>i</t>
        </is>
      </c>
      <c r="M3" s="7" t="inlineStr">
        <is>
          <t>iL</t>
        </is>
      </c>
      <c r="N3" s="7" t="inlineStr">
        <is>
          <t>h, м</t>
        </is>
      </c>
      <c r="O3" s="7" t="inlineStr">
        <is>
          <t>Материал</t>
        </is>
      </c>
      <c r="P3" s="22" t="inlineStr">
        <is>
          <t>DN</t>
        </is>
      </c>
      <c r="Q3" s="22" t="inlineStr">
        <is>
          <t>d_вн, мм</t>
        </is>
      </c>
      <c r="S3" s="22" t="inlineStr">
        <is>
          <t>ППР Ø</t>
        </is>
      </c>
      <c r="T3" s="22" t="inlineStr">
        <is>
          <t>d_вн, мм</t>
        </is>
      </c>
    </row>
    <row r="4">
      <c r="A4" s="4" t="inlineStr">
        <is>
          <t>1–2</t>
        </is>
      </c>
      <c r="B4" s="4" t="inlineStr">
        <is>
          <t>кв. разводка</t>
        </is>
      </c>
      <c r="C4" s="11" t="n">
        <v>0.677</v>
      </c>
      <c r="D4" s="9" t="n">
        <v>1</v>
      </c>
      <c r="E4" s="20">
        <f>P_C</f>
        <v/>
      </c>
      <c r="F4" s="23">
        <f>D4*E4</f>
        <v/>
      </c>
      <c r="G4" s="19">
        <f>IF(F4&lt;0.015,0.2,INDEX(B2_A,MATCH(F4,B2_NP,1))+(F4-INDEX(B2_NP,MATCH(F4,B2_NP,1)))*(INDEX(B2_A,MATCH(F4,B2_NP,1)+1)-INDEX(B2_A,MATCH(F4,B2_NP,1)))/(INDEX(B2_NP,MATCH(F4,B2_NP,1)+1)-INDEX(B2_NP,MATCH(F4,B2_NP,1))))</f>
        <v/>
      </c>
      <c r="H4" s="19">
        <f>5*Q0_C*G4</f>
        <v/>
      </c>
      <c r="I4" s="9" t="n">
        <v>20</v>
      </c>
      <c r="J4" s="24">
        <f>IF(O4="ППР",INDEX(PPR_D,MATCH(I4,PPR_DN,0)),INDEX(VGP_D,MATCH(I4,VGP_DN,0))-1)</f>
        <v/>
      </c>
      <c r="K4" s="25">
        <f>H4/1000/(PI()*(J4/1000)^2/4)</f>
        <v/>
      </c>
      <c r="L4" s="23">
        <f>IF(O4="ППР",0.000685*K4^1.774/(J4/1000)^1.226,IF(K4&lt;1.2,0.000912*K4^2/(J4/1000)^1.3*(1+0.867/K4)^0.3,0.00107*K4^2/(J4/1000)^1.3))</f>
        <v/>
      </c>
      <c r="M4" s="19">
        <f>L4*C4</f>
        <v/>
      </c>
      <c r="N4" s="19">
        <f>M4*(1+K_L)</f>
        <v/>
      </c>
      <c r="O4" s="26" t="inlineStr">
        <is>
          <t>ППР</t>
        </is>
      </c>
      <c r="P4" s="16" t="n">
        <v>15</v>
      </c>
      <c r="Q4" s="24" t="n">
        <v>15.7</v>
      </c>
      <c r="S4" s="16" t="n">
        <v>20</v>
      </c>
      <c r="T4" s="24" t="n">
        <v>13.2</v>
      </c>
    </row>
    <row r="5">
      <c r="A5" s="4" t="inlineStr">
        <is>
          <t>2–3</t>
        </is>
      </c>
      <c r="B5" s="4" t="inlineStr">
        <is>
          <t>кв. разводка</t>
        </is>
      </c>
      <c r="C5" s="11" t="n">
        <v>0.345</v>
      </c>
      <c r="D5" s="9" t="n">
        <v>3</v>
      </c>
      <c r="E5" s="20">
        <f>P_C</f>
        <v/>
      </c>
      <c r="F5" s="23">
        <f>D5*E5</f>
        <v/>
      </c>
      <c r="G5" s="19">
        <f>IF(F5&lt;0.015,0.2,INDEX(B2_A,MATCH(F5,B2_NP,1))+(F5-INDEX(B2_NP,MATCH(F5,B2_NP,1)))*(INDEX(B2_A,MATCH(F5,B2_NP,1)+1)-INDEX(B2_A,MATCH(F5,B2_NP,1)))/(INDEX(B2_NP,MATCH(F5,B2_NP,1)+1)-INDEX(B2_NP,MATCH(F5,B2_NP,1))))</f>
        <v/>
      </c>
      <c r="H5" s="19">
        <f>5*Q0_C*G5</f>
        <v/>
      </c>
      <c r="I5" s="9" t="n">
        <v>25</v>
      </c>
      <c r="J5" s="24">
        <f>IF(O5="ППР",INDEX(PPR_D,MATCH(I5,PPR_DN,0)),INDEX(VGP_D,MATCH(I5,VGP_DN,0))-1)</f>
        <v/>
      </c>
      <c r="K5" s="25">
        <f>H5/1000/(PI()*(J5/1000)^2/4)</f>
        <v/>
      </c>
      <c r="L5" s="23">
        <f>IF(O5="ППР",0.000685*K5^1.774/(J5/1000)^1.226,IF(K5&lt;1.2,0.000912*K5^2/(J5/1000)^1.3*(1+0.867/K5)^0.3,0.00107*K5^2/(J5/1000)^1.3))</f>
        <v/>
      </c>
      <c r="M5" s="19">
        <f>L5*C5</f>
        <v/>
      </c>
      <c r="N5" s="19">
        <f>M5*(1+K_L)</f>
        <v/>
      </c>
      <c r="O5" s="26" t="inlineStr">
        <is>
          <t>ППР</t>
        </is>
      </c>
      <c r="P5" s="16" t="n">
        <v>20</v>
      </c>
      <c r="Q5" s="24" t="n">
        <v>21.2</v>
      </c>
      <c r="S5" s="16" t="n">
        <v>25</v>
      </c>
      <c r="T5" s="24" t="n">
        <v>16.6</v>
      </c>
    </row>
    <row r="6">
      <c r="A6" s="4" t="inlineStr">
        <is>
          <t>3–4</t>
        </is>
      </c>
      <c r="B6" s="4" t="inlineStr">
        <is>
          <t>кв. узел учёта (опуск и отвод)</t>
        </is>
      </c>
      <c r="C6" s="11" t="n">
        <v>1.7</v>
      </c>
      <c r="D6" s="9" t="n">
        <v>4</v>
      </c>
      <c r="E6" s="20">
        <f>P_C</f>
        <v/>
      </c>
      <c r="F6" s="23">
        <f>D6*E6</f>
        <v/>
      </c>
      <c r="G6" s="19">
        <f>IF(F6&lt;0.015,0.2,INDEX(B2_A,MATCH(F6,B2_NP,1))+(F6-INDEX(B2_NP,MATCH(F6,B2_NP,1)))*(INDEX(B2_A,MATCH(F6,B2_NP,1)+1)-INDEX(B2_A,MATCH(F6,B2_NP,1)))/(INDEX(B2_NP,MATCH(F6,B2_NP,1)+1)-INDEX(B2_NP,MATCH(F6,B2_NP,1))))</f>
        <v/>
      </c>
      <c r="H6" s="19">
        <f>5*Q0_C*G6</f>
        <v/>
      </c>
      <c r="I6" s="9" t="n">
        <v>25</v>
      </c>
      <c r="J6" s="24">
        <f>IF(O6="ППР",INDEX(PPR_D,MATCH(I6,PPR_DN,0)),INDEX(VGP_D,MATCH(I6,VGP_DN,0))-1)</f>
        <v/>
      </c>
      <c r="K6" s="25">
        <f>H6/1000/(PI()*(J6/1000)^2/4)</f>
        <v/>
      </c>
      <c r="L6" s="23">
        <f>IF(O6="ППР",0.000685*K6^1.774/(J6/1000)^1.226,IF(K6&lt;1.2,0.000912*K6^2/(J6/1000)^1.3*(1+0.867/K6)^0.3,0.00107*K6^2/(J6/1000)^1.3))</f>
        <v/>
      </c>
      <c r="M6" s="19">
        <f>L6*C6</f>
        <v/>
      </c>
      <c r="N6" s="19">
        <f>M6*(1+K_L)</f>
        <v/>
      </c>
      <c r="O6" s="26" t="inlineStr">
        <is>
          <t>ППР</t>
        </is>
      </c>
      <c r="P6" s="16" t="n">
        <v>25</v>
      </c>
      <c r="Q6" s="24" t="n">
        <v>27.1</v>
      </c>
      <c r="S6" s="16" t="n">
        <v>32</v>
      </c>
      <c r="T6" s="24" t="n">
        <v>21.2</v>
      </c>
    </row>
    <row r="7">
      <c r="A7" s="4" t="inlineStr">
        <is>
          <t>4–5</t>
        </is>
      </c>
      <c r="B7" s="4" t="inlineStr">
        <is>
          <t>стояк Ст.В1-5, эт. 11-10</t>
        </is>
      </c>
      <c r="C7" s="11" t="n">
        <v>3.2</v>
      </c>
      <c r="D7" s="9" t="n">
        <v>4</v>
      </c>
      <c r="E7" s="20">
        <f>P_C</f>
        <v/>
      </c>
      <c r="F7" s="23">
        <f>D7*E7</f>
        <v/>
      </c>
      <c r="G7" s="19">
        <f>IF(F7&lt;0.015,0.2,INDEX(B2_A,MATCH(F7,B2_NP,1))+(F7-INDEX(B2_NP,MATCH(F7,B2_NP,1)))*(INDEX(B2_A,MATCH(F7,B2_NP,1)+1)-INDEX(B2_A,MATCH(F7,B2_NP,1)))/(INDEX(B2_NP,MATCH(F7,B2_NP,1)+1)-INDEX(B2_NP,MATCH(F7,B2_NP,1))))</f>
        <v/>
      </c>
      <c r="H7" s="19">
        <f>5*Q0_C*G7</f>
        <v/>
      </c>
      <c r="I7" s="9" t="n">
        <v>25</v>
      </c>
      <c r="J7" s="24">
        <f>IF(O7="ППР",INDEX(PPR_D,MATCH(I7,PPR_DN,0)),INDEX(VGP_D,MATCH(I7,VGP_DN,0))-1)</f>
        <v/>
      </c>
      <c r="K7" s="25">
        <f>H7/1000/(PI()*(J7/1000)^2/4)</f>
        <v/>
      </c>
      <c r="L7" s="23">
        <f>IF(O7="ППР",0.000685*K7^1.774/(J7/1000)^1.226,IF(K7&lt;1.2,0.000912*K7^2/(J7/1000)^1.3*(1+0.867/K7)^0.3,0.00107*K7^2/(J7/1000)^1.3))</f>
        <v/>
      </c>
      <c r="M7" s="19">
        <f>L7*C7</f>
        <v/>
      </c>
      <c r="N7" s="19">
        <f>M7*(1+K_L)</f>
        <v/>
      </c>
      <c r="O7" s="26" t="inlineStr">
        <is>
          <t>ППР</t>
        </is>
      </c>
      <c r="P7" s="16" t="n">
        <v>32</v>
      </c>
      <c r="Q7" s="24" t="n">
        <v>35.9</v>
      </c>
      <c r="S7" s="16" t="n">
        <v>40</v>
      </c>
      <c r="T7" s="24" t="n">
        <v>26.6</v>
      </c>
    </row>
    <row r="8">
      <c r="A8" s="4" t="inlineStr">
        <is>
          <t>5–6</t>
        </is>
      </c>
      <c r="B8" s="4" t="inlineStr">
        <is>
          <t>стояк Ст.В1-5, эт. 10-9</t>
        </is>
      </c>
      <c r="C8" s="11" t="n">
        <v>3.2</v>
      </c>
      <c r="D8" s="9" t="n">
        <v>8</v>
      </c>
      <c r="E8" s="20">
        <f>P_C</f>
        <v/>
      </c>
      <c r="F8" s="23">
        <f>D8*E8</f>
        <v/>
      </c>
      <c r="G8" s="19">
        <f>IF(F8&lt;0.015,0.2,INDEX(B2_A,MATCH(F8,B2_NP,1))+(F8-INDEX(B2_NP,MATCH(F8,B2_NP,1)))*(INDEX(B2_A,MATCH(F8,B2_NP,1)+1)-INDEX(B2_A,MATCH(F8,B2_NP,1)))/(INDEX(B2_NP,MATCH(F8,B2_NP,1)+1)-INDEX(B2_NP,MATCH(F8,B2_NP,1))))</f>
        <v/>
      </c>
      <c r="H8" s="19">
        <f>5*Q0_C*G8</f>
        <v/>
      </c>
      <c r="I8" s="9" t="n">
        <v>32</v>
      </c>
      <c r="J8" s="24">
        <f>IF(O8="ППР",INDEX(PPR_D,MATCH(I8,PPR_DN,0)),INDEX(VGP_D,MATCH(I8,VGP_DN,0))-1)</f>
        <v/>
      </c>
      <c r="K8" s="25">
        <f>H8/1000/(PI()*(J8/1000)^2/4)</f>
        <v/>
      </c>
      <c r="L8" s="23">
        <f>IF(O8="ППР",0.000685*K8^1.774/(J8/1000)^1.226,IF(K8&lt;1.2,0.000912*K8^2/(J8/1000)^1.3*(1+0.867/K8)^0.3,0.00107*K8^2/(J8/1000)^1.3))</f>
        <v/>
      </c>
      <c r="M8" s="19">
        <f>L8*C8</f>
        <v/>
      </c>
      <c r="N8" s="19">
        <f>M8*(1+K_L)</f>
        <v/>
      </c>
      <c r="O8" s="26" t="inlineStr">
        <is>
          <t>ППР</t>
        </is>
      </c>
      <c r="P8" s="16" t="n">
        <v>40</v>
      </c>
      <c r="Q8" s="24" t="n">
        <v>41</v>
      </c>
      <c r="S8" s="16" t="n">
        <v>50</v>
      </c>
      <c r="T8" s="24" t="n">
        <v>33.2</v>
      </c>
    </row>
    <row r="9">
      <c r="A9" s="4" t="inlineStr">
        <is>
          <t>6–7</t>
        </is>
      </c>
      <c r="B9" s="4" t="inlineStr">
        <is>
          <t>стояк Ст.В1-5, эт. 9-8</t>
        </is>
      </c>
      <c r="C9" s="11" t="n">
        <v>3.2</v>
      </c>
      <c r="D9" s="9" t="n">
        <v>12</v>
      </c>
      <c r="E9" s="20">
        <f>P_C</f>
        <v/>
      </c>
      <c r="F9" s="23">
        <f>D9*E9</f>
        <v/>
      </c>
      <c r="G9" s="19">
        <f>IF(F9&lt;0.015,0.2,INDEX(B2_A,MATCH(F9,B2_NP,1))+(F9-INDEX(B2_NP,MATCH(F9,B2_NP,1)))*(INDEX(B2_A,MATCH(F9,B2_NP,1)+1)-INDEX(B2_A,MATCH(F9,B2_NP,1)))/(INDEX(B2_NP,MATCH(F9,B2_NP,1)+1)-INDEX(B2_NP,MATCH(F9,B2_NP,1))))</f>
        <v/>
      </c>
      <c r="H9" s="19">
        <f>5*Q0_C*G9</f>
        <v/>
      </c>
      <c r="I9" s="9" t="n">
        <v>32</v>
      </c>
      <c r="J9" s="24">
        <f>IF(O9="ППР",INDEX(PPR_D,MATCH(I9,PPR_DN,0)),INDEX(VGP_D,MATCH(I9,VGP_DN,0))-1)</f>
        <v/>
      </c>
      <c r="K9" s="25">
        <f>H9/1000/(PI()*(J9/1000)^2/4)</f>
        <v/>
      </c>
      <c r="L9" s="23">
        <f>IF(O9="ППР",0.000685*K9^1.774/(J9/1000)^1.226,IF(K9&lt;1.2,0.000912*K9^2/(J9/1000)^1.3*(1+0.867/K9)^0.3,0.00107*K9^2/(J9/1000)^1.3))</f>
        <v/>
      </c>
      <c r="M9" s="19">
        <f>L9*C9</f>
        <v/>
      </c>
      <c r="N9" s="19">
        <f>M9*(1+K_L)</f>
        <v/>
      </c>
      <c r="O9" s="26" t="inlineStr">
        <is>
          <t>ППР</t>
        </is>
      </c>
      <c r="P9" s="16" t="n">
        <v>50</v>
      </c>
      <c r="Q9" s="24" t="n">
        <v>53</v>
      </c>
    </row>
    <row r="10">
      <c r="A10" s="4" t="inlineStr">
        <is>
          <t>7–8</t>
        </is>
      </c>
      <c r="B10" s="4" t="inlineStr">
        <is>
          <t>стояк Ст.В1-5, эт. 8-7</t>
        </is>
      </c>
      <c r="C10" s="11" t="n">
        <v>3.2</v>
      </c>
      <c r="D10" s="9" t="n">
        <v>16</v>
      </c>
      <c r="E10" s="20">
        <f>P_C</f>
        <v/>
      </c>
      <c r="F10" s="23">
        <f>D10*E10</f>
        <v/>
      </c>
      <c r="G10" s="19">
        <f>IF(F10&lt;0.015,0.2,INDEX(B2_A,MATCH(F10,B2_NP,1))+(F10-INDEX(B2_NP,MATCH(F10,B2_NP,1)))*(INDEX(B2_A,MATCH(F10,B2_NP,1)+1)-INDEX(B2_A,MATCH(F10,B2_NP,1)))/(INDEX(B2_NP,MATCH(F10,B2_NP,1)+1)-INDEX(B2_NP,MATCH(F10,B2_NP,1))))</f>
        <v/>
      </c>
      <c r="H10" s="19">
        <f>5*Q0_C*G10</f>
        <v/>
      </c>
      <c r="I10" s="9" t="n">
        <v>32</v>
      </c>
      <c r="J10" s="24">
        <f>IF(O10="ППР",INDEX(PPR_D,MATCH(I10,PPR_DN,0)),INDEX(VGP_D,MATCH(I10,VGP_DN,0))-1)</f>
        <v/>
      </c>
      <c r="K10" s="25">
        <f>H10/1000/(PI()*(J10/1000)^2/4)</f>
        <v/>
      </c>
      <c r="L10" s="23">
        <f>IF(O10="ППР",0.000685*K10^1.774/(J10/1000)^1.226,IF(K10&lt;1.2,0.000912*K10^2/(J10/1000)^1.3*(1+0.867/K10)^0.3,0.00107*K10^2/(J10/1000)^1.3))</f>
        <v/>
      </c>
      <c r="M10" s="19">
        <f>L10*C10</f>
        <v/>
      </c>
      <c r="N10" s="19">
        <f>M10*(1+K_L)</f>
        <v/>
      </c>
      <c r="O10" s="26" t="inlineStr">
        <is>
          <t>ППР</t>
        </is>
      </c>
      <c r="P10" s="16" t="n">
        <v>65</v>
      </c>
      <c r="Q10" s="24" t="n">
        <v>67.5</v>
      </c>
    </row>
    <row r="11">
      <c r="A11" s="4" t="inlineStr">
        <is>
          <t>8–9</t>
        </is>
      </c>
      <c r="B11" s="4" t="inlineStr">
        <is>
          <t>стояк Ст.В1-5, эт. 7-6</t>
        </is>
      </c>
      <c r="C11" s="11" t="n">
        <v>3.2</v>
      </c>
      <c r="D11" s="9" t="n">
        <v>20</v>
      </c>
      <c r="E11" s="20">
        <f>P_C</f>
        <v/>
      </c>
      <c r="F11" s="23">
        <f>D11*E11</f>
        <v/>
      </c>
      <c r="G11" s="19">
        <f>IF(F11&lt;0.015,0.2,INDEX(B2_A,MATCH(F11,B2_NP,1))+(F11-INDEX(B2_NP,MATCH(F11,B2_NP,1)))*(INDEX(B2_A,MATCH(F11,B2_NP,1)+1)-INDEX(B2_A,MATCH(F11,B2_NP,1)))/(INDEX(B2_NP,MATCH(F11,B2_NP,1)+1)-INDEX(B2_NP,MATCH(F11,B2_NP,1))))</f>
        <v/>
      </c>
      <c r="H11" s="19">
        <f>5*Q0_C*G11</f>
        <v/>
      </c>
      <c r="I11" s="9" t="n">
        <v>32</v>
      </c>
      <c r="J11" s="24">
        <f>IF(O11="ППР",INDEX(PPR_D,MATCH(I11,PPR_DN,0)),INDEX(VGP_D,MATCH(I11,VGP_DN,0))-1)</f>
        <v/>
      </c>
      <c r="K11" s="25">
        <f>H11/1000/(PI()*(J11/1000)^2/4)</f>
        <v/>
      </c>
      <c r="L11" s="23">
        <f>IF(O11="ППР",0.000685*K11^1.774/(J11/1000)^1.226,IF(K11&lt;1.2,0.000912*K11^2/(J11/1000)^1.3*(1+0.867/K11)^0.3,0.00107*K11^2/(J11/1000)^1.3))</f>
        <v/>
      </c>
      <c r="M11" s="19">
        <f>L11*C11</f>
        <v/>
      </c>
      <c r="N11" s="19">
        <f>M11*(1+K_L)</f>
        <v/>
      </c>
      <c r="O11" s="26" t="inlineStr">
        <is>
          <t>ППР</t>
        </is>
      </c>
      <c r="P11" s="16" t="n">
        <v>80</v>
      </c>
      <c r="Q11" s="24" t="n">
        <v>80.5</v>
      </c>
    </row>
    <row r="12">
      <c r="A12" s="4" t="inlineStr">
        <is>
          <t>9–10</t>
        </is>
      </c>
      <c r="B12" s="4" t="inlineStr">
        <is>
          <t>стояк Ст.В1-5, эт. 6-5</t>
        </is>
      </c>
      <c r="C12" s="11" t="n">
        <v>3.2</v>
      </c>
      <c r="D12" s="9" t="n">
        <v>24</v>
      </c>
      <c r="E12" s="20">
        <f>P_C</f>
        <v/>
      </c>
      <c r="F12" s="23">
        <f>D12*E12</f>
        <v/>
      </c>
      <c r="G12" s="19">
        <f>IF(F12&lt;0.015,0.2,INDEX(B2_A,MATCH(F12,B2_NP,1))+(F12-INDEX(B2_NP,MATCH(F12,B2_NP,1)))*(INDEX(B2_A,MATCH(F12,B2_NP,1)+1)-INDEX(B2_A,MATCH(F12,B2_NP,1)))/(INDEX(B2_NP,MATCH(F12,B2_NP,1)+1)-INDEX(B2_NP,MATCH(F12,B2_NP,1))))</f>
        <v/>
      </c>
      <c r="H12" s="19">
        <f>5*Q0_C*G12</f>
        <v/>
      </c>
      <c r="I12" s="9" t="n">
        <v>32</v>
      </c>
      <c r="J12" s="24">
        <f>IF(O12="ППР",INDEX(PPR_D,MATCH(I12,PPR_DN,0)),INDEX(VGP_D,MATCH(I12,VGP_DN,0))-1)</f>
        <v/>
      </c>
      <c r="K12" s="25">
        <f>H12/1000/(PI()*(J12/1000)^2/4)</f>
        <v/>
      </c>
      <c r="L12" s="23">
        <f>IF(O12="ППР",0.000685*K12^1.774/(J12/1000)^1.226,IF(K12&lt;1.2,0.000912*K12^2/(J12/1000)^1.3*(1+0.867/K12)^0.3,0.00107*K12^2/(J12/1000)^1.3))</f>
        <v/>
      </c>
      <c r="M12" s="19">
        <f>L12*C12</f>
        <v/>
      </c>
      <c r="N12" s="19">
        <f>M12*(1+K_L)</f>
        <v/>
      </c>
      <c r="O12" s="26" t="inlineStr">
        <is>
          <t>ППР</t>
        </is>
      </c>
      <c r="P12" s="16" t="n">
        <v>100</v>
      </c>
      <c r="Q12" s="24" t="n">
        <v>105</v>
      </c>
    </row>
    <row r="13">
      <c r="A13" s="4" t="inlineStr">
        <is>
          <t>10–11</t>
        </is>
      </c>
      <c r="B13" s="4" t="inlineStr">
        <is>
          <t>стояк Ст.В1-5, эт. 5-4</t>
        </is>
      </c>
      <c r="C13" s="11" t="n">
        <v>3.2</v>
      </c>
      <c r="D13" s="9" t="n">
        <v>28</v>
      </c>
      <c r="E13" s="20">
        <f>P_C</f>
        <v/>
      </c>
      <c r="F13" s="23">
        <f>D13*E13</f>
        <v/>
      </c>
      <c r="G13" s="19">
        <f>IF(F13&lt;0.015,0.2,INDEX(B2_A,MATCH(F13,B2_NP,1))+(F13-INDEX(B2_NP,MATCH(F13,B2_NP,1)))*(INDEX(B2_A,MATCH(F13,B2_NP,1)+1)-INDEX(B2_A,MATCH(F13,B2_NP,1)))/(INDEX(B2_NP,MATCH(F13,B2_NP,1)+1)-INDEX(B2_NP,MATCH(F13,B2_NP,1))))</f>
        <v/>
      </c>
      <c r="H13" s="19">
        <f>5*Q0_C*G13</f>
        <v/>
      </c>
      <c r="I13" s="9" t="n">
        <v>40</v>
      </c>
      <c r="J13" s="24">
        <f>IF(O13="ППР",INDEX(PPR_D,MATCH(I13,PPR_DN,0)),INDEX(VGP_D,MATCH(I13,VGP_DN,0))-1)</f>
        <v/>
      </c>
      <c r="K13" s="25">
        <f>H13/1000/(PI()*(J13/1000)^2/4)</f>
        <v/>
      </c>
      <c r="L13" s="23">
        <f>IF(O13="ППР",0.000685*K13^1.774/(J13/1000)^1.226,IF(K13&lt;1.2,0.000912*K13^2/(J13/1000)^1.3*(1+0.867/K13)^0.3,0.00107*K13^2/(J13/1000)^1.3))</f>
        <v/>
      </c>
      <c r="M13" s="19">
        <f>L13*C13</f>
        <v/>
      </c>
      <c r="N13" s="19">
        <f>M13*(1+K_L)</f>
        <v/>
      </c>
      <c r="O13" s="26" t="inlineStr">
        <is>
          <t>ППР</t>
        </is>
      </c>
    </row>
    <row r="14">
      <c r="A14" s="4" t="inlineStr">
        <is>
          <t>11–12</t>
        </is>
      </c>
      <c r="B14" s="4" t="inlineStr">
        <is>
          <t>стояк Ст.В1-5, эт. 4-3</t>
        </is>
      </c>
      <c r="C14" s="11" t="n">
        <v>3.2</v>
      </c>
      <c r="D14" s="9" t="n">
        <v>32</v>
      </c>
      <c r="E14" s="20">
        <f>P_C</f>
        <v/>
      </c>
      <c r="F14" s="23">
        <f>D14*E14</f>
        <v/>
      </c>
      <c r="G14" s="19">
        <f>IF(F14&lt;0.015,0.2,INDEX(B2_A,MATCH(F14,B2_NP,1))+(F14-INDEX(B2_NP,MATCH(F14,B2_NP,1)))*(INDEX(B2_A,MATCH(F14,B2_NP,1)+1)-INDEX(B2_A,MATCH(F14,B2_NP,1)))/(INDEX(B2_NP,MATCH(F14,B2_NP,1)+1)-INDEX(B2_NP,MATCH(F14,B2_NP,1))))</f>
        <v/>
      </c>
      <c r="H14" s="19">
        <f>5*Q0_C*G14</f>
        <v/>
      </c>
      <c r="I14" s="9" t="n">
        <v>40</v>
      </c>
      <c r="J14" s="24">
        <f>IF(O14="ППР",INDEX(PPR_D,MATCH(I14,PPR_DN,0)),INDEX(VGP_D,MATCH(I14,VGP_DN,0))-1)</f>
        <v/>
      </c>
      <c r="K14" s="25">
        <f>H14/1000/(PI()*(J14/1000)^2/4)</f>
        <v/>
      </c>
      <c r="L14" s="23">
        <f>IF(O14="ППР",0.000685*K14^1.774/(J14/1000)^1.226,IF(K14&lt;1.2,0.000912*K14^2/(J14/1000)^1.3*(1+0.867/K14)^0.3,0.00107*K14^2/(J14/1000)^1.3))</f>
        <v/>
      </c>
      <c r="M14" s="19">
        <f>L14*C14</f>
        <v/>
      </c>
      <c r="N14" s="19">
        <f>M14*(1+K_L)</f>
        <v/>
      </c>
      <c r="O14" s="26" t="inlineStr">
        <is>
          <t>ППР</t>
        </is>
      </c>
    </row>
    <row r="15">
      <c r="A15" s="4" t="inlineStr">
        <is>
          <t>12–13</t>
        </is>
      </c>
      <c r="B15" s="4" t="inlineStr">
        <is>
          <t>стояк Ст.В1-5, эт. 3-2</t>
        </is>
      </c>
      <c r="C15" s="11" t="n">
        <v>3.2</v>
      </c>
      <c r="D15" s="9" t="n">
        <v>36</v>
      </c>
      <c r="E15" s="20">
        <f>P_C</f>
        <v/>
      </c>
      <c r="F15" s="23">
        <f>D15*E15</f>
        <v/>
      </c>
      <c r="G15" s="19">
        <f>IF(F15&lt;0.015,0.2,INDEX(B2_A,MATCH(F15,B2_NP,1))+(F15-INDEX(B2_NP,MATCH(F15,B2_NP,1)))*(INDEX(B2_A,MATCH(F15,B2_NP,1)+1)-INDEX(B2_A,MATCH(F15,B2_NP,1)))/(INDEX(B2_NP,MATCH(F15,B2_NP,1)+1)-INDEX(B2_NP,MATCH(F15,B2_NP,1))))</f>
        <v/>
      </c>
      <c r="H15" s="19">
        <f>5*Q0_C*G15</f>
        <v/>
      </c>
      <c r="I15" s="9" t="n">
        <v>40</v>
      </c>
      <c r="J15" s="24">
        <f>IF(O15="ППР",INDEX(PPR_D,MATCH(I15,PPR_DN,0)),INDEX(VGP_D,MATCH(I15,VGP_DN,0))-1)</f>
        <v/>
      </c>
      <c r="K15" s="25">
        <f>H15/1000/(PI()*(J15/1000)^2/4)</f>
        <v/>
      </c>
      <c r="L15" s="23">
        <f>IF(O15="ППР",0.000685*K15^1.774/(J15/1000)^1.226,IF(K15&lt;1.2,0.000912*K15^2/(J15/1000)^1.3*(1+0.867/K15)^0.3,0.00107*K15^2/(J15/1000)^1.3))</f>
        <v/>
      </c>
      <c r="M15" s="19">
        <f>L15*C15</f>
        <v/>
      </c>
      <c r="N15" s="19">
        <f>M15*(1+K_L)</f>
        <v/>
      </c>
      <c r="O15" s="26" t="inlineStr">
        <is>
          <t>ППР</t>
        </is>
      </c>
    </row>
    <row r="16">
      <c r="A16" s="4" t="inlineStr">
        <is>
          <t>13–14</t>
        </is>
      </c>
      <c r="B16" s="4" t="inlineStr">
        <is>
          <t>стояк Ст.В1-5, эт. 2-1</t>
        </is>
      </c>
      <c r="C16" s="11" t="n">
        <v>3.2</v>
      </c>
      <c r="D16" s="9" t="n">
        <v>40</v>
      </c>
      <c r="E16" s="20">
        <f>P_C</f>
        <v/>
      </c>
      <c r="F16" s="23">
        <f>D16*E16</f>
        <v/>
      </c>
      <c r="G16" s="19">
        <f>IF(F16&lt;0.015,0.2,INDEX(B2_A,MATCH(F16,B2_NP,1))+(F16-INDEX(B2_NP,MATCH(F16,B2_NP,1)))*(INDEX(B2_A,MATCH(F16,B2_NP,1)+1)-INDEX(B2_A,MATCH(F16,B2_NP,1)))/(INDEX(B2_NP,MATCH(F16,B2_NP,1)+1)-INDEX(B2_NP,MATCH(F16,B2_NP,1))))</f>
        <v/>
      </c>
      <c r="H16" s="19">
        <f>5*Q0_C*G16</f>
        <v/>
      </c>
      <c r="I16" s="9" t="n">
        <v>40</v>
      </c>
      <c r="J16" s="24">
        <f>IF(O16="ППР",INDEX(PPR_D,MATCH(I16,PPR_DN,0)),INDEX(VGP_D,MATCH(I16,VGP_DN,0))-1)</f>
        <v/>
      </c>
      <c r="K16" s="25">
        <f>H16/1000/(PI()*(J16/1000)^2/4)</f>
        <v/>
      </c>
      <c r="L16" s="23">
        <f>IF(O16="ППР",0.000685*K16^1.774/(J16/1000)^1.226,IF(K16&lt;1.2,0.000912*K16^2/(J16/1000)^1.3*(1+0.867/K16)^0.3,0.00107*K16^2/(J16/1000)^1.3))</f>
        <v/>
      </c>
      <c r="M16" s="19">
        <f>L16*C16</f>
        <v/>
      </c>
      <c r="N16" s="19">
        <f>M16*(1+K_L)</f>
        <v/>
      </c>
      <c r="O16" s="26" t="inlineStr">
        <is>
          <t>ППР</t>
        </is>
      </c>
    </row>
    <row r="17">
      <c r="A17" s="4" t="inlineStr">
        <is>
          <t>14–15</t>
        </is>
      </c>
      <c r="B17" s="4" t="inlineStr">
        <is>
          <t>стояк Ст.В1-5, эт. 1 - основание в подвале</t>
        </is>
      </c>
      <c r="C17" s="11" t="n">
        <v>2.1</v>
      </c>
      <c r="D17" s="9" t="n">
        <v>44</v>
      </c>
      <c r="E17" s="20">
        <f>P_C</f>
        <v/>
      </c>
      <c r="F17" s="23">
        <f>D17*E17</f>
        <v/>
      </c>
      <c r="G17" s="19">
        <f>IF(F17&lt;0.015,0.2,INDEX(B2_A,MATCH(F17,B2_NP,1))+(F17-INDEX(B2_NP,MATCH(F17,B2_NP,1)))*(INDEX(B2_A,MATCH(F17,B2_NP,1)+1)-INDEX(B2_A,MATCH(F17,B2_NP,1)))/(INDEX(B2_NP,MATCH(F17,B2_NP,1)+1)-INDEX(B2_NP,MATCH(F17,B2_NP,1))))</f>
        <v/>
      </c>
      <c r="H17" s="19">
        <f>5*Q0_C*G17</f>
        <v/>
      </c>
      <c r="I17" s="9" t="n">
        <v>40</v>
      </c>
      <c r="J17" s="24">
        <f>IF(O17="ППР",INDEX(PPR_D,MATCH(I17,PPR_DN,0)),INDEX(VGP_D,MATCH(I17,VGP_DN,0))-1)</f>
        <v/>
      </c>
      <c r="K17" s="25">
        <f>H17/1000/(PI()*(J17/1000)^2/4)</f>
        <v/>
      </c>
      <c r="L17" s="23">
        <f>IF(O17="ППР",0.000685*K17^1.774/(J17/1000)^1.226,IF(K17&lt;1.2,0.000912*K17^2/(J17/1000)^1.3*(1+0.867/K17)^0.3,0.00107*K17^2/(J17/1000)^1.3))</f>
        <v/>
      </c>
      <c r="M17" s="19">
        <f>L17*C17</f>
        <v/>
      </c>
      <c r="N17" s="19">
        <f>M17*(1+K_L)</f>
        <v/>
      </c>
      <c r="O17" s="26" t="inlineStr">
        <is>
          <t>ППР</t>
        </is>
      </c>
    </row>
    <row r="18">
      <c r="A18" s="4" t="inlineStr">
        <is>
          <t>15–16</t>
        </is>
      </c>
      <c r="B18" s="4" t="inlineStr">
        <is>
          <t>подводка к стояку Ст.В1-5</t>
        </is>
      </c>
      <c r="C18" s="11" t="n">
        <v>2.07</v>
      </c>
      <c r="D18" s="9" t="n">
        <v>44</v>
      </c>
      <c r="E18" s="20">
        <f>P_C</f>
        <v/>
      </c>
      <c r="F18" s="23">
        <f>D18*E18</f>
        <v/>
      </c>
      <c r="G18" s="19">
        <f>IF(F18&lt;0.015,0.2,INDEX(B2_A,MATCH(F18,B2_NP,1))+(F18-INDEX(B2_NP,MATCH(F18,B2_NP,1)))*(INDEX(B2_A,MATCH(F18,B2_NP,1)+1)-INDEX(B2_A,MATCH(F18,B2_NP,1)))/(INDEX(B2_NP,MATCH(F18,B2_NP,1)+1)-INDEX(B2_NP,MATCH(F18,B2_NP,1))))</f>
        <v/>
      </c>
      <c r="H18" s="19">
        <f>5*Q0_C*G18</f>
        <v/>
      </c>
      <c r="I18" s="9" t="n">
        <v>25</v>
      </c>
      <c r="J18" s="24">
        <f>IF(O18="ППР",INDEX(PPR_D,MATCH(I18,PPR_DN,0)),INDEX(VGP_D,MATCH(I18,VGP_DN,0))-1)</f>
        <v/>
      </c>
      <c r="K18" s="25">
        <f>H18/1000/(PI()*(J18/1000)^2/4)</f>
        <v/>
      </c>
      <c r="L18" s="23">
        <f>IF(O18="ППР",0.000685*K18^1.774/(J18/1000)^1.226,IF(K18&lt;1.2,0.000912*K18^2/(J18/1000)^1.3*(1+0.867/K18)^0.3,0.00107*K18^2/(J18/1000)^1.3))</f>
        <v/>
      </c>
      <c r="M18" s="19">
        <f>L18*C18</f>
        <v/>
      </c>
      <c r="N18" s="19">
        <f>M18*(1+K_L)</f>
        <v/>
      </c>
      <c r="O18" s="26" t="inlineStr">
        <is>
          <t>сталь</t>
        </is>
      </c>
    </row>
    <row r="19">
      <c r="A19" s="4" t="inlineStr">
        <is>
          <t>16–17</t>
        </is>
      </c>
      <c r="B19" s="4" t="inlineStr">
        <is>
          <t>магистраль x = 29,60…44,54</t>
        </is>
      </c>
      <c r="C19" s="11" t="n">
        <v>14.94</v>
      </c>
      <c r="D19" s="9" t="n">
        <v>44</v>
      </c>
      <c r="E19" s="20">
        <f>P_C</f>
        <v/>
      </c>
      <c r="F19" s="23">
        <f>D19*E19</f>
        <v/>
      </c>
      <c r="G19" s="19">
        <f>IF(F19&lt;0.015,0.2,INDEX(B2_A,MATCH(F19,B2_NP,1))+(F19-INDEX(B2_NP,MATCH(F19,B2_NP,1)))*(INDEX(B2_A,MATCH(F19,B2_NP,1)+1)-INDEX(B2_A,MATCH(F19,B2_NP,1)))/(INDEX(B2_NP,MATCH(F19,B2_NP,1)+1)-INDEX(B2_NP,MATCH(F19,B2_NP,1))))</f>
        <v/>
      </c>
      <c r="H19" s="19">
        <f>5*Q0_C*G19</f>
        <v/>
      </c>
      <c r="I19" s="9" t="n">
        <v>32</v>
      </c>
      <c r="J19" s="24">
        <f>IF(O19="ППР",INDEX(PPR_D,MATCH(I19,PPR_DN,0)),INDEX(VGP_D,MATCH(I19,VGP_DN,0))-1)</f>
        <v/>
      </c>
      <c r="K19" s="25">
        <f>H19/1000/(PI()*(J19/1000)^2/4)</f>
        <v/>
      </c>
      <c r="L19" s="23">
        <f>IF(O19="ППР",0.000685*K19^1.774/(J19/1000)^1.226,IF(K19&lt;1.2,0.000912*K19^2/(J19/1000)^1.3*(1+0.867/K19)^0.3,0.00107*K19^2/(J19/1000)^1.3))</f>
        <v/>
      </c>
      <c r="M19" s="19">
        <f>L19*C19</f>
        <v/>
      </c>
      <c r="N19" s="19">
        <f>M19*(1+K_L)</f>
        <v/>
      </c>
      <c r="O19" s="26" t="inlineStr">
        <is>
          <t>сталь</t>
        </is>
      </c>
    </row>
    <row r="20">
      <c r="A20" s="4" t="inlineStr">
        <is>
          <t>17–18</t>
        </is>
      </c>
      <c r="B20" s="4" t="inlineStr">
        <is>
          <t>магистраль x = 15,70…29,60</t>
        </is>
      </c>
      <c r="C20" s="11" t="n">
        <v>13.9</v>
      </c>
      <c r="D20" s="9" t="n">
        <v>132</v>
      </c>
      <c r="E20" s="20">
        <f>P_C</f>
        <v/>
      </c>
      <c r="F20" s="23">
        <f>D20*E20</f>
        <v/>
      </c>
      <c r="G20" s="19">
        <f>IF(F20&lt;0.015,0.2,INDEX(B2_A,MATCH(F20,B2_NP,1))+(F20-INDEX(B2_NP,MATCH(F20,B2_NP,1)))*(INDEX(B2_A,MATCH(F20,B2_NP,1)+1)-INDEX(B2_A,MATCH(F20,B2_NP,1)))/(INDEX(B2_NP,MATCH(F20,B2_NP,1)+1)-INDEX(B2_NP,MATCH(F20,B2_NP,1))))</f>
        <v/>
      </c>
      <c r="H20" s="19">
        <f>5*Q0_C*G20</f>
        <v/>
      </c>
      <c r="I20" s="9" t="n">
        <v>32</v>
      </c>
      <c r="J20" s="24">
        <f>IF(O20="ППР",INDEX(PPR_D,MATCH(I20,PPR_DN,0)),INDEX(VGP_D,MATCH(I20,VGP_DN,0))-1)</f>
        <v/>
      </c>
      <c r="K20" s="25">
        <f>H20/1000/(PI()*(J20/1000)^2/4)</f>
        <v/>
      </c>
      <c r="L20" s="23">
        <f>IF(O20="ППР",0.000685*K20^1.774/(J20/1000)^1.226,IF(K20&lt;1.2,0.000912*K20^2/(J20/1000)^1.3*(1+0.867/K20)^0.3,0.00107*K20^2/(J20/1000)^1.3))</f>
        <v/>
      </c>
      <c r="M20" s="19">
        <f>L20*C20</f>
        <v/>
      </c>
      <c r="N20" s="19">
        <f>M20*(1+K_L)</f>
        <v/>
      </c>
      <c r="O20" s="26" t="inlineStr">
        <is>
          <t>сталь</t>
        </is>
      </c>
    </row>
    <row r="21">
      <c r="A21" s="4" t="inlineStr">
        <is>
          <t>18–19</t>
        </is>
      </c>
      <c r="B21" s="4" t="inlineStr">
        <is>
          <t>магистраль x = 4,00…15,70</t>
        </is>
      </c>
      <c r="C21" s="11" t="n">
        <v>11.7</v>
      </c>
      <c r="D21" s="9" t="n">
        <v>220</v>
      </c>
      <c r="E21" s="20">
        <f>P_C</f>
        <v/>
      </c>
      <c r="F21" s="23">
        <f>D21*E21</f>
        <v/>
      </c>
      <c r="G21" s="19">
        <f>IF(F21&lt;0.015,0.2,INDEX(B2_A,MATCH(F21,B2_NP,1))+(F21-INDEX(B2_NP,MATCH(F21,B2_NP,1)))*(INDEX(B2_A,MATCH(F21,B2_NP,1)+1)-INDEX(B2_A,MATCH(F21,B2_NP,1)))/(INDEX(B2_NP,MATCH(F21,B2_NP,1)+1)-INDEX(B2_NP,MATCH(F21,B2_NP,1))))</f>
        <v/>
      </c>
      <c r="H21" s="19">
        <f>5*Q0_C*G21</f>
        <v/>
      </c>
      <c r="I21" s="9" t="n">
        <v>40</v>
      </c>
      <c r="J21" s="24">
        <f>IF(O21="ППР",INDEX(PPR_D,MATCH(I21,PPR_DN,0)),INDEX(VGP_D,MATCH(I21,VGP_DN,0))-1)</f>
        <v/>
      </c>
      <c r="K21" s="25">
        <f>H21/1000/(PI()*(J21/1000)^2/4)</f>
        <v/>
      </c>
      <c r="L21" s="23">
        <f>IF(O21="ППР",0.000685*K21^1.774/(J21/1000)^1.226,IF(K21&lt;1.2,0.000912*K21^2/(J21/1000)^1.3*(1+0.867/K21)^0.3,0.00107*K21^2/(J21/1000)^1.3))</f>
        <v/>
      </c>
      <c r="M21" s="19">
        <f>L21*C21</f>
        <v/>
      </c>
      <c r="N21" s="19">
        <f>M21*(1+K_L)</f>
        <v/>
      </c>
      <c r="O21" s="26" t="inlineStr">
        <is>
          <t>сталь</t>
        </is>
      </c>
    </row>
    <row r="22">
      <c r="A22" s="4" t="inlineStr">
        <is>
          <t>19–НС</t>
        </is>
      </c>
      <c r="B22" s="4" t="inlineStr">
        <is>
          <t>напорная линия: установка - тройник магистрали</t>
        </is>
      </c>
      <c r="C22" s="11" t="n">
        <v>5.68</v>
      </c>
      <c r="D22" s="9" t="n">
        <v>264</v>
      </c>
      <c r="E22" s="20">
        <f>P_C</f>
        <v/>
      </c>
      <c r="F22" s="23">
        <f>D22*E22</f>
        <v/>
      </c>
      <c r="G22" s="19">
        <f>IF(F22&lt;0.015,0.2,INDEX(B2_A,MATCH(F22,B2_NP,1))+(F22-INDEX(B2_NP,MATCH(F22,B2_NP,1)))*(INDEX(B2_A,MATCH(F22,B2_NP,1)+1)-INDEX(B2_A,MATCH(F22,B2_NP,1)))/(INDEX(B2_NP,MATCH(F22,B2_NP,1)+1)-INDEX(B2_NP,MATCH(F22,B2_NP,1))))</f>
        <v/>
      </c>
      <c r="H22" s="19">
        <f>5*Q0_C*G22</f>
        <v/>
      </c>
      <c r="I22" s="9" t="n">
        <v>50</v>
      </c>
      <c r="J22" s="24">
        <f>IF(O22="ППР",INDEX(PPR_D,MATCH(I22,PPR_DN,0)),INDEX(VGP_D,MATCH(I22,VGP_DN,0))-1)</f>
        <v/>
      </c>
      <c r="K22" s="25">
        <f>H22/1000/(PI()*(J22/1000)^2/4)</f>
        <v/>
      </c>
      <c r="L22" s="23">
        <f>IF(O22="ППР",0.000685*K22^1.774/(J22/1000)^1.226,IF(K22&lt;1.2,0.000912*K22^2/(J22/1000)^1.3*(1+0.867/K22)^0.3,0.00107*K22^2/(J22/1000)^1.3))</f>
        <v/>
      </c>
      <c r="M22" s="19">
        <f>L22*C22</f>
        <v/>
      </c>
      <c r="N22" s="19">
        <f>M22*(1+K_L)</f>
        <v/>
      </c>
      <c r="O22" s="26" t="inlineStr">
        <is>
          <t>сталь</t>
        </is>
      </c>
    </row>
    <row r="23">
      <c r="B23" s="3" t="inlineStr">
        <is>
          <t>Итого Σh по диктующему направлению</t>
        </is>
      </c>
      <c r="N23" s="18">
        <f>SUM(N4:N22)</f>
        <v/>
      </c>
    </row>
    <row r="25" ht="42" customHeight="1">
      <c r="A25" s="27" t="inlineStr">
        <is>
          <t>Квартирные разводки, узлы учёта и стояки — ППР PN20 (ГОСТ 32415-2013): d_р — внутренний диаметр, i = 0,000685·v^1,774/d_р^1,226 (Шевелёв, ф. 28). Подводки к стоякам, магистраль и напорная линия — сталь ВГП (ГОСТ 3262-75): d_р — внутренний диаметр минус 1 мм, v &lt; 1,2 м/с — i = 0,000912·v²/d_р^1,3·(1 + 0,867/v)^0,3; v ≥ 1,2 м/с — i = 0,00107·v²/d_р^1,3. h = iL·(1 + K_l). Диаметр — по экономичным скоростям (≤ 1,5 м/с в подводках, ≤ 1,2 м/с в стояках и магистралях).</t>
        </is>
      </c>
    </row>
    <row r="26"/>
  </sheetData>
  <mergeCells count="1">
    <mergeCell ref="A25:O2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zoomScale="10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</cols>
  <sheetData>
    <row r="1">
      <c r="A1" s="6" t="inlineStr">
        <is>
          <t>Расчёт ввода В1-1 (ПЭ100 SDR17, потери по Колбруку–Уайту)</t>
        </is>
      </c>
    </row>
    <row r="3" ht="32" customHeight="1">
      <c r="A3" s="7" t="inlineStr">
        <is>
          <t>Величина</t>
        </is>
      </c>
      <c r="B3" s="7" t="inlineStr">
        <is>
          <t>Значение</t>
        </is>
      </c>
      <c r="C3" s="7" t="inlineStr">
        <is>
          <t>Ед. изм.</t>
        </is>
      </c>
    </row>
    <row r="4">
      <c r="A4" s="4" t="inlineStr">
        <is>
          <t>Расчётный расход q^c</t>
        </is>
      </c>
      <c r="B4" s="19">
        <f>Q_C</f>
        <v/>
      </c>
      <c r="C4" s="4" t="inlineStr">
        <is>
          <t>л/с</t>
        </is>
      </c>
    </row>
    <row r="5">
      <c r="A5" s="4" t="inlineStr">
        <is>
          <t>Наружный диаметр ПЭ100 SDR17</t>
        </is>
      </c>
      <c r="B5" s="9" t="n">
        <v>63</v>
      </c>
      <c r="C5" s="4" t="inlineStr">
        <is>
          <t>мм</t>
        </is>
      </c>
    </row>
    <row r="6">
      <c r="A6" s="4" t="inlineStr">
        <is>
          <t>Внутренний диаметр</t>
        </is>
      </c>
      <c r="B6" s="10" t="n">
        <v>55.4</v>
      </c>
      <c r="C6" s="4" t="inlineStr">
        <is>
          <t>мм</t>
        </is>
      </c>
    </row>
    <row r="7">
      <c r="A7" s="4" t="inlineStr">
        <is>
          <t>Эквивалентная шероховатость Δ</t>
        </is>
      </c>
      <c r="B7" s="11" t="n">
        <v>0.01</v>
      </c>
      <c r="C7" s="4" t="inlineStr">
        <is>
          <t>мм</t>
        </is>
      </c>
    </row>
    <row r="8">
      <c r="A8" s="4" t="inlineStr">
        <is>
          <t>Кинематическая вязкость воды (10 °С)</t>
        </is>
      </c>
      <c r="B8" s="28" t="n">
        <v>1.31e-06</v>
      </c>
      <c r="C8" s="4" t="inlineStr">
        <is>
          <t>м²/с</t>
        </is>
      </c>
    </row>
    <row r="9">
      <c r="A9" s="4" t="inlineStr">
        <is>
          <t>Скорость v = q/(π d²/4)</t>
        </is>
      </c>
      <c r="B9" s="19">
        <f>VV_Q/1000/(PI()*(VV_D/1000)^2/4)</f>
        <v/>
      </c>
      <c r="C9" s="4" t="inlineStr">
        <is>
          <t>м/с</t>
        </is>
      </c>
    </row>
    <row r="10">
      <c r="A10" s="4" t="inlineStr">
        <is>
          <t>Число Рейнольдса Re = v·d/ν</t>
        </is>
      </c>
      <c r="B10" s="16">
        <f>VV_V*VV_D/1000/VV_NU</f>
        <v/>
      </c>
      <c r="C10" s="4" t="inlineStr">
        <is>
          <t>—</t>
        </is>
      </c>
    </row>
    <row r="11">
      <c r="A11" s="3" t="inlineStr">
        <is>
          <t>λ — итерации формулы Колбрука–Уайта: 1/√λ = −2·lg(Δ/(3,7d) + 2,51/(Re·√λ))</t>
        </is>
      </c>
    </row>
    <row r="12">
      <c r="A12" s="4" t="inlineStr">
        <is>
          <t>λ, итерация 1</t>
        </is>
      </c>
      <c r="B12" s="20">
        <f>(-2*LOG10(VV_DELTA/1000/(3.7*VV_D/1000)+2.51/(VV_RE*SQRT(0.02))))^-2</f>
        <v/>
      </c>
    </row>
    <row r="13">
      <c r="A13" s="4" t="inlineStr">
        <is>
          <t>λ, итерация 2</t>
        </is>
      </c>
      <c r="B13" s="20">
        <f>(-2*LOG10(VV_DELTA/1000/(3.7*VV_D/1000)+2.51/(VV_RE*SQRT(B12))))^-2</f>
        <v/>
      </c>
    </row>
    <row r="14">
      <c r="A14" s="4" t="inlineStr">
        <is>
          <t>λ, итерация 3</t>
        </is>
      </c>
      <c r="B14" s="20">
        <f>(-2*LOG10(VV_DELTA/1000/(3.7*VV_D/1000)+2.51/(VV_RE*SQRT(B13))))^-2</f>
        <v/>
      </c>
    </row>
    <row r="15">
      <c r="A15" s="4" t="inlineStr">
        <is>
          <t>λ, итерация 4</t>
        </is>
      </c>
      <c r="B15" s="20">
        <f>(-2*LOG10(VV_DELTA/1000/(3.7*VV_D/1000)+2.51/(VV_RE*SQRT(B14))))^-2</f>
        <v/>
      </c>
    </row>
    <row r="16">
      <c r="A16" s="4" t="inlineStr">
        <is>
          <t>λ, итерация 5</t>
        </is>
      </c>
      <c r="B16" s="20">
        <f>(-2*LOG10(VV_DELTA/1000/(3.7*VV_D/1000)+2.51/(VV_RE*SQRT(B15))))^-2</f>
        <v/>
      </c>
    </row>
    <row r="17">
      <c r="A17" s="4" t="inlineStr">
        <is>
          <t>λ, итерация 6</t>
        </is>
      </c>
      <c r="B17" s="20">
        <f>(-2*LOG10(VV_DELTA/1000/(3.7*VV_D/1000)+2.51/(VV_RE*SQRT(B16))))^-2</f>
        <v/>
      </c>
    </row>
    <row r="18">
      <c r="A18" s="4" t="inlineStr">
        <is>
          <t>λ, итерация 7</t>
        </is>
      </c>
      <c r="B18" s="20">
        <f>(-2*LOG10(VV_DELTA/1000/(3.7*VV_D/1000)+2.51/(VV_RE*SQRT(B17))))^-2</f>
        <v/>
      </c>
    </row>
    <row r="19">
      <c r="A19" s="4" t="inlineStr">
        <is>
          <t>λ, итерация 8</t>
        </is>
      </c>
      <c r="B19" s="20">
        <f>(-2*LOG10(VV_DELTA/1000/(3.7*VV_D/1000)+2.51/(VV_RE*SQRT(B18))))^-2</f>
        <v/>
      </c>
    </row>
    <row r="20">
      <c r="A20" s="4" t="inlineStr">
        <is>
          <t>Удельные потери i = λ/d·v²/(2g)</t>
        </is>
      </c>
      <c r="B20" s="20">
        <f>VV_LAM/(VV_D/1000)*VV_V^2/(2*9.81)</f>
        <v/>
      </c>
      <c r="C20" s="4" t="inlineStr">
        <is>
          <t>м/м</t>
        </is>
      </c>
    </row>
    <row r="21">
      <c r="A21" s="3" t="inlineStr">
        <is>
          <t>Потери на вводе h_ввод = i·L·(1 + K_l)</t>
        </is>
      </c>
      <c r="B21" s="21">
        <f>VV_I*L_VVOD*(1+K_L)</f>
        <v/>
      </c>
      <c r="C21" s="4" t="inlineStr">
        <is>
          <t>м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4" customWidth="1" min="4" max="4"/>
    <col width="18" customWidth="1" min="5" max="5"/>
    <col width="12" customWidth="1" min="6" max="6"/>
    <col width="12" customWidth="1" min="7" max="7"/>
    <col width="13" customWidth="1" min="8" max="8"/>
    <col width="14" customWidth="1" min="9" max="9"/>
  </cols>
  <sheetData>
    <row r="1">
      <c r="A1" s="6" t="inlineStr">
        <is>
          <t>Таблица 1.5. Подбор счётчиков воды (табл. 12.1, п. 12.15–12.16 СП 30.13330.2020)</t>
        </is>
      </c>
    </row>
    <row r="3" ht="32" customHeight="1">
      <c r="A3" s="7" t="inlineStr">
        <is>
          <t>Узел</t>
        </is>
      </c>
      <c r="B3" s="7" t="inlineStr">
        <is>
          <t>DN</t>
        </is>
      </c>
      <c r="C3" s="7" t="inlineStr">
        <is>
          <t>q_экспл, м³/ч</t>
        </is>
      </c>
      <c r="D3" s="7" t="inlineStr">
        <is>
          <t>S, м/(л/с)²</t>
        </is>
      </c>
      <c r="E3" s="7" t="inlineStr">
        <is>
          <t>Расчётный расход q, л/с</t>
        </is>
      </c>
      <c r="F3" s="7" t="inlineStr">
        <is>
          <t>h_сч = S·q², м</t>
        </is>
      </c>
      <c r="G3" s="7" t="inlineStr">
        <is>
          <t>Допустимо, м</t>
        </is>
      </c>
      <c r="H3" s="7" t="inlineStr">
        <is>
          <t>q_T ≤ q_экспл</t>
        </is>
      </c>
      <c r="I3" s="7" t="inlineStr">
        <is>
          <t>Вывод</t>
        </is>
      </c>
    </row>
    <row r="4">
      <c r="A4" s="4" t="inlineStr">
        <is>
          <t>Общедомовой ВСХН-25 (ввод)</t>
        </is>
      </c>
      <c r="B4" s="9" t="n">
        <v>25</v>
      </c>
      <c r="C4" s="10" t="n">
        <v>2.8</v>
      </c>
      <c r="D4" s="11" t="n">
        <v>2.64</v>
      </c>
      <c r="E4" s="19">
        <f>Q_C</f>
        <v/>
      </c>
      <c r="F4" s="18">
        <f>D4*E4^2</f>
        <v/>
      </c>
      <c r="G4" s="10" t="n">
        <v>5</v>
      </c>
      <c r="H4" s="8">
        <f>IF(QT_C&lt;=C4,"да","нет")</f>
        <v/>
      </c>
      <c r="I4" s="8">
        <f>IF(F4&lt;=G4,"подходит","больше DN")</f>
        <v/>
      </c>
    </row>
    <row r="5">
      <c r="A5" s="4" t="inlineStr">
        <is>
          <t>Квартирный (4 прибора)</t>
        </is>
      </c>
      <c r="B5" s="9" t="n">
        <v>15</v>
      </c>
      <c r="C5" s="10" t="n">
        <v>1.2</v>
      </c>
      <c r="D5" s="10" t="n">
        <v>14.5</v>
      </c>
      <c r="E5" s="19">
        <f>5*Q0_C*IF((N_PR*P_C)&lt;0.015,0.2,INDEX(B2_A,MATCH((N_PR*P_C),B2_NP,1))+((N_PR*P_C)-INDEX(B2_NP,MATCH((N_PR*P_C),B2_NP,1)))*(INDEX(B2_A,MATCH((N_PR*P_C),B2_NP,1)+1)-INDEX(B2_A,MATCH((N_PR*P_C),B2_NP,1)))/(INDEX(B2_NP,MATCH((N_PR*P_C),B2_NP,1)+1)-INDEX(B2_NP,MATCH((N_PR*P_C),B2_NP,1))))</f>
        <v/>
      </c>
      <c r="F5" s="18">
        <f>D5*E5^2</f>
        <v/>
      </c>
      <c r="G5" s="10" t="n">
        <v>5</v>
      </c>
      <c r="H5" s="4" t="inlineStr">
        <is>
          <t>—</t>
        </is>
      </c>
      <c r="I5" s="8">
        <f>IF(F5&lt;=G5,"подходит","больше DN")</f>
        <v/>
      </c>
    </row>
    <row r="6">
      <c r="A6" s="3" t="inlineStr">
        <is>
          <t>Σh_сч (общедомовой + квартирный)</t>
        </is>
      </c>
      <c r="F6" s="18">
        <f>F4+F5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zoomScale="100" workbookViewId="0">
      <selection activeCell="A1" sqref="A1"/>
    </sheetView>
  </sheetViews>
  <sheetFormatPr baseColWidth="8" defaultRowHeight="15"/>
  <cols>
    <col width="62" customWidth="1" min="1" max="1"/>
    <col width="34" customWidth="1" min="2" max="2"/>
    <col width="14" customWidth="1" min="3" max="3"/>
    <col width="10" customWidth="1" min="4" max="4"/>
  </cols>
  <sheetData>
    <row r="1">
      <c r="A1" s="6" t="inlineStr">
        <is>
          <t>Требуемый напор и напор повысительной установки</t>
        </is>
      </c>
    </row>
    <row r="3" ht="32" customHeight="1">
      <c r="A3" s="7" t="inlineStr">
        <is>
          <t>Величина</t>
        </is>
      </c>
      <c r="B3" s="7" t="inlineStr">
        <is>
          <t>Формула</t>
        </is>
      </c>
      <c r="C3" s="7" t="inlineStr">
        <is>
          <t>Значение</t>
        </is>
      </c>
      <c r="D3" s="7" t="inlineStr">
        <is>
          <t>Ед. изм.</t>
        </is>
      </c>
    </row>
    <row r="4">
      <c r="A4" s="4" t="inlineStr">
        <is>
          <t>Верх городской трубы (отн.)</t>
        </is>
      </c>
      <c r="B4" s="4" t="inlineStr">
        <is>
          <t>z_земли − (H_пр + 0,5)</t>
        </is>
      </c>
      <c r="C4" s="19">
        <f>Z_ZEML_GVK-(H_PROMERZ+0.5)</f>
        <v/>
      </c>
      <c r="D4" s="4" t="inlineStr">
        <is>
          <t>м</t>
        </is>
      </c>
    </row>
    <row r="5">
      <c r="A5" s="4" t="inlineStr">
        <is>
          <t>Отметка диктующего прибора (11-й этаж)</t>
        </is>
      </c>
      <c r="B5" s="4" t="inlineStr">
        <is>
          <t>(n_эт − 1)·h_эт + 1,95</t>
        </is>
      </c>
      <c r="C5" s="19">
        <f>(N_ET-1)*H_ET+Z_PR_DIKT</f>
        <v/>
      </c>
      <c r="D5" s="4" t="inlineStr">
        <is>
          <t>м</t>
        </is>
      </c>
    </row>
    <row r="6">
      <c r="A6" s="4" t="inlineStr">
        <is>
          <t>Геометрическая высота H_geom</t>
        </is>
      </c>
      <c r="B6" s="4" t="inlineStr">
        <is>
          <t>z_дикт − z_гор</t>
        </is>
      </c>
      <c r="C6" s="25">
        <f>Z_DIKT-Z_GOR</f>
        <v/>
      </c>
      <c r="D6" s="4" t="inlineStr">
        <is>
          <t>м</t>
        </is>
      </c>
    </row>
    <row r="7">
      <c r="A7" s="4" t="inlineStr">
        <is>
          <t>Потери в сети Σh (табл. 1.4)</t>
        </is>
      </c>
      <c r="B7" s="4" t="inlineStr">
        <is>
          <t>Σh</t>
        </is>
      </c>
      <c r="C7" s="25">
        <f>SUM_H</f>
        <v/>
      </c>
      <c r="D7" s="4" t="inlineStr">
        <is>
          <t>м</t>
        </is>
      </c>
    </row>
    <row r="8">
      <c r="A8" s="4" t="inlineStr">
        <is>
          <t>Свободный напор H_f</t>
        </is>
      </c>
      <c r="B8" s="4" t="inlineStr">
        <is>
          <t>п. 8.21</t>
        </is>
      </c>
      <c r="C8" s="24">
        <f>H_SV</f>
        <v/>
      </c>
      <c r="D8" s="4" t="inlineStr">
        <is>
          <t>м</t>
        </is>
      </c>
    </row>
    <row r="9">
      <c r="A9" s="4" t="inlineStr">
        <is>
          <t>Потери в счётчиках Σh_сч</t>
        </is>
      </c>
      <c r="B9" s="4" t="inlineStr">
        <is>
          <t>табл. 1.5</t>
        </is>
      </c>
      <c r="C9" s="25">
        <f>H_SCH</f>
        <v/>
      </c>
      <c r="D9" s="4" t="inlineStr">
        <is>
          <t>м</t>
        </is>
      </c>
    </row>
    <row r="10">
      <c r="A10" s="4" t="inlineStr">
        <is>
          <t>Потери на вводе h_ввод</t>
        </is>
      </c>
      <c r="B10" s="4" t="inlineStr">
        <is>
          <t>лист 1.5</t>
        </is>
      </c>
      <c r="C10" s="25">
        <f>H_VVOD</f>
        <v/>
      </c>
      <c r="D10" s="4" t="inlineStr">
        <is>
          <t>м</t>
        </is>
      </c>
    </row>
    <row r="11">
      <c r="A11" s="3" t="inlineStr">
        <is>
          <t>Требуемый напор H_тр</t>
        </is>
      </c>
      <c r="B11" s="4" t="inlineStr">
        <is>
          <t>H_geom + Σh + H_f + Σh_сч + h_ввод</t>
        </is>
      </c>
      <c r="C11" s="18">
        <f>H_GEOM+H_SUMH+H_SV_+H_SCH_+H_VVOD_</f>
        <v/>
      </c>
      <c r="D11" s="4" t="inlineStr">
        <is>
          <t>м</t>
        </is>
      </c>
    </row>
    <row r="12">
      <c r="A12" s="3" t="inlineStr">
        <is>
          <t>Напор установки H_р</t>
        </is>
      </c>
      <c r="B12" s="4" t="inlineStr">
        <is>
          <t>H_тр − H_гар</t>
        </is>
      </c>
      <c r="C12" s="18">
        <f>H_TR-H_GAR</f>
        <v/>
      </c>
      <c r="D12" s="4" t="inlineStr">
        <is>
          <t>м</t>
        </is>
      </c>
    </row>
    <row r="13">
      <c r="A13" s="4" t="inlineStr">
        <is>
          <t>Подача установки Q</t>
        </is>
      </c>
      <c r="B13" s="4" t="inlineStr">
        <is>
          <t>q^c·3,6</t>
        </is>
      </c>
      <c r="C13" s="25">
        <f>Q_C*3.6</f>
        <v/>
      </c>
      <c r="D13" s="4" t="inlineStr">
        <is>
          <t>м³/ч</t>
        </is>
      </c>
    </row>
    <row r="14">
      <c r="A14" s="4" t="inlineStr">
        <is>
          <t>Полезная мощность N</t>
        </is>
      </c>
      <c r="B14" s="4" t="inlineStr">
        <is>
          <t>ρ·g·Q·H_р</t>
        </is>
      </c>
      <c r="C14" s="25">
        <f>1000*9.81*Q_NAS/3600*H_RAB/1000</f>
        <v/>
      </c>
      <c r="D14" s="4" t="inlineStr">
        <is>
          <t>кВт</t>
        </is>
      </c>
    </row>
    <row r="16">
      <c r="A16" s="29" t="inlineStr">
        <is>
          <t>Регуляторы давления (п. 8.22 СП 30: напор у нижнего прибора более 45 м)</t>
        </is>
      </c>
    </row>
    <row r="17" ht="32" customHeight="1">
      <c r="A17" s="7" t="inlineStr">
        <is>
          <t>Этаж</t>
        </is>
      </c>
      <c r="B17" s="7" t="inlineStr">
        <is>
          <t>Напор у смесителя ванны (0,8 м) без расхода, м</t>
        </is>
      </c>
      <c r="C17" s="7" t="inlineStr">
        <is>
          <t>Регулятор</t>
        </is>
      </c>
      <c r="D17" s="7" t="inlineStr"/>
    </row>
    <row r="18">
      <c r="A18" s="8" t="n">
        <v>1</v>
      </c>
      <c r="B18" s="24">
        <f>H_GAR+H_RAB-((A18-1)*H_ET+0.8-Z_GOR)</f>
        <v/>
      </c>
      <c r="C18" s="8">
        <f>IF(B18&gt;45,"нужен","нет")</f>
        <v/>
      </c>
    </row>
    <row r="19">
      <c r="A19" s="8" t="n">
        <v>2</v>
      </c>
      <c r="B19" s="24">
        <f>H_GAR+H_RAB-((A19-1)*H_ET+0.8-Z_GOR)</f>
        <v/>
      </c>
      <c r="C19" s="8">
        <f>IF(B19&gt;45,"нужен","нет")</f>
        <v/>
      </c>
    </row>
    <row r="20">
      <c r="A20" s="8" t="n">
        <v>3</v>
      </c>
      <c r="B20" s="24">
        <f>H_GAR+H_RAB-((A20-1)*H_ET+0.8-Z_GOR)</f>
        <v/>
      </c>
      <c r="C20" s="8">
        <f>IF(B20&gt;45,"нужен","нет")</f>
        <v/>
      </c>
    </row>
    <row r="21">
      <c r="A21" s="8" t="n">
        <v>4</v>
      </c>
      <c r="B21" s="24">
        <f>H_GAR+H_RAB-((A21-1)*H_ET+0.8-Z_GOR)</f>
        <v/>
      </c>
      <c r="C21" s="8">
        <f>IF(B21&gt;45,"нужен","нет")</f>
        <v/>
      </c>
    </row>
    <row r="22">
      <c r="A22" s="8" t="n">
        <v>5</v>
      </c>
      <c r="B22" s="24">
        <f>H_GAR+H_RAB-((A22-1)*H_ET+0.8-Z_GOR)</f>
        <v/>
      </c>
      <c r="C22" s="8">
        <f>IF(B22&gt;45,"нужен","нет")</f>
        <v/>
      </c>
    </row>
    <row r="23">
      <c r="A23" s="8" t="n">
        <v>6</v>
      </c>
      <c r="B23" s="24">
        <f>H_GAR+H_RAB-((A23-1)*H_ET+0.8-Z_GOR)</f>
        <v/>
      </c>
      <c r="C23" s="8">
        <f>IF(B23&gt;45,"нужен","нет")</f>
        <v/>
      </c>
    </row>
    <row r="24">
      <c r="A24" s="8" t="n">
        <v>7</v>
      </c>
      <c r="B24" s="24">
        <f>H_GAR+H_RAB-((A24-1)*H_ET+0.8-Z_GOR)</f>
        <v/>
      </c>
      <c r="C24" s="8">
        <f>IF(B24&gt;45,"нужен","нет")</f>
        <v/>
      </c>
    </row>
    <row r="25">
      <c r="A25" s="8" t="n">
        <v>8</v>
      </c>
      <c r="B25" s="24">
        <f>H_GAR+H_RAB-((A25-1)*H_ET+0.8-Z_GOR)</f>
        <v/>
      </c>
      <c r="C25" s="8">
        <f>IF(B25&gt;45,"нужен","нет")</f>
        <v/>
      </c>
    </row>
    <row r="26">
      <c r="A26" s="8" t="n">
        <v>9</v>
      </c>
      <c r="B26" s="24">
        <f>H_GAR+H_RAB-((A26-1)*H_ET+0.8-Z_GOR)</f>
        <v/>
      </c>
      <c r="C26" s="8">
        <f>IF(B26&gt;45,"нужен","нет")</f>
        <v/>
      </c>
    </row>
    <row r="27">
      <c r="A27" s="8" t="n">
        <v>10</v>
      </c>
      <c r="B27" s="24">
        <f>H_GAR+H_RAB-((A27-1)*H_ET+0.8-Z_GOR)</f>
        <v/>
      </c>
      <c r="C27" s="8">
        <f>IF(B27&gt;45,"нужен","нет")</f>
        <v/>
      </c>
    </row>
    <row r="28">
      <c r="A28" s="8" t="n">
        <v>11</v>
      </c>
      <c r="B28" s="24">
        <f>H_GAR+H_RAB-((A28-1)*H_ET+0.8-Z_GOR)</f>
        <v/>
      </c>
      <c r="C28" s="8">
        <f>IF(B28&gt;45,"нужен","нет")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zoomScale="10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6" customWidth="1" min="4" max="4"/>
    <col width="11" customWidth="1" min="5" max="5"/>
    <col width="13" customWidth="1" min="6" max="6"/>
    <col width="16" customWidth="1" min="7" max="7"/>
  </cols>
  <sheetData>
    <row r="1">
      <c r="A1" s="6" t="inlineStr">
        <is>
          <t>Таблица 1.6. Подбор насоса (Wilo MVL 4, напор при 50 Гц по кривым каталога при расчётной подаче)</t>
        </is>
      </c>
    </row>
    <row r="3" ht="32" customHeight="1">
      <c r="A3" s="7" t="inlineStr">
        <is>
          <t>Насос</t>
        </is>
      </c>
      <c r="B3" s="7" t="inlineStr">
        <is>
          <t>H при 50 Гц, м</t>
        </is>
      </c>
      <c r="C3" s="7" t="inlineStr">
        <is>
          <t>Запас, м</t>
        </is>
      </c>
      <c r="D3" s="7" t="inlineStr">
        <is>
          <t>В рабочей зоне</t>
        </is>
      </c>
      <c r="E3" s="7" t="inlineStr">
        <is>
          <t>КПД, %</t>
        </is>
      </c>
      <c r="F3" s="7" t="inlineStr">
        <is>
          <t>Мотор, кВт</t>
        </is>
      </c>
      <c r="G3" s="7" t="inlineStr">
        <is>
          <t>Вывод</t>
        </is>
      </c>
    </row>
    <row r="4">
      <c r="A4" s="4" t="inlineStr">
        <is>
          <t>MVL 405</t>
        </is>
      </c>
      <c r="B4" s="10" t="n">
        <v>36.6</v>
      </c>
      <c r="C4" s="24">
        <f>B4-H_RAB</f>
        <v/>
      </c>
      <c r="D4" s="4" t="inlineStr">
        <is>
          <t>да</t>
        </is>
      </c>
      <c r="E4" s="10" t="n">
        <v>56</v>
      </c>
      <c r="F4" s="10" t="n">
        <v>1.1</v>
      </c>
      <c r="G4" s="8">
        <f>IF(C4&lt;0,"мал напор",IF(B4=SUMPRODUCT(MIN(B4:B8+(C4:C8&lt;0)*1000)),"принят","подходит"))</f>
        <v/>
      </c>
    </row>
    <row r="5">
      <c r="A5" s="4" t="inlineStr">
        <is>
          <t>MVL 406</t>
        </is>
      </c>
      <c r="B5" s="10" t="n">
        <v>43.6</v>
      </c>
      <c r="C5" s="24">
        <f>B5-H_RAB</f>
        <v/>
      </c>
      <c r="D5" s="4" t="inlineStr">
        <is>
          <t>да</t>
        </is>
      </c>
      <c r="E5" s="10" t="n">
        <v>56</v>
      </c>
      <c r="F5" s="10" t="n">
        <v>1.1</v>
      </c>
      <c r="G5" s="8">
        <f>IF(C5&lt;0,"мал напор",IF(B5=SUMPRODUCT(MIN(B4:B8+(C4:C8&lt;0)*1000)),"принят","подходит"))</f>
        <v/>
      </c>
    </row>
    <row r="6">
      <c r="A6" s="4" t="inlineStr">
        <is>
          <t>MVL 407</t>
        </is>
      </c>
      <c r="B6" s="10" t="n">
        <v>52.2</v>
      </c>
      <c r="C6" s="24">
        <f>B6-H_RAB</f>
        <v/>
      </c>
      <c r="D6" s="4" t="inlineStr">
        <is>
          <t>да</t>
        </is>
      </c>
      <c r="E6" s="10" t="n">
        <v>56</v>
      </c>
      <c r="F6" s="10" t="n">
        <v>1.5</v>
      </c>
      <c r="G6" s="8">
        <f>IF(C6&lt;0,"мал напор",IF(B6=SUMPRODUCT(MIN(B4:B8+(C4:C8&lt;0)*1000)),"принят","подходит"))</f>
        <v/>
      </c>
    </row>
    <row r="7">
      <c r="A7" s="4" t="inlineStr">
        <is>
          <t>MVL 408</t>
        </is>
      </c>
      <c r="B7" s="10" t="n">
        <v>58.3</v>
      </c>
      <c r="C7" s="24">
        <f>B7-H_RAB</f>
        <v/>
      </c>
      <c r="D7" s="4" t="inlineStr">
        <is>
          <t>да</t>
        </is>
      </c>
      <c r="E7" s="10" t="n">
        <v>56</v>
      </c>
      <c r="F7" s="10" t="n">
        <v>1.5</v>
      </c>
      <c r="G7" s="8">
        <f>IF(C7&lt;0,"мал напор",IF(B7=SUMPRODUCT(MIN(B4:B8+(C4:C8&lt;0)*1000)),"принят","подходит"))</f>
        <v/>
      </c>
    </row>
    <row r="8">
      <c r="A8" s="4" t="inlineStr">
        <is>
          <t>MVL 410</t>
        </is>
      </c>
      <c r="B8" s="10" t="n">
        <v>73.5</v>
      </c>
      <c r="C8" s="24">
        <f>B8-H_RAB</f>
        <v/>
      </c>
      <c r="D8" s="4" t="inlineStr">
        <is>
          <t>да</t>
        </is>
      </c>
      <c r="E8" s="10" t="n">
        <v>56</v>
      </c>
      <c r="F8" s="10" t="n">
        <v>2.2</v>
      </c>
      <c r="G8" s="8">
        <f>IF(C8&lt;0,"мал напор",IF(B8=SUMPRODUCT(MIN(B4:B8+(C4:C8&lt;0)*1000)),"принят","подходит"))</f>
        <v/>
      </c>
    </row>
    <row r="10">
      <c r="A10" s="15" t="inlineStr">
        <is>
          <t>Принята установка Wilo COR-2 MVL 408/SKw-EB-R: 1 рабочий + 1 резервный насос, частотное регулирование. Напор насосов — по кривым каталога WILO серии MVL при Q = 4,83 м³/ч.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10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3" customWidth="1" min="5" max="5"/>
    <col width="13" customWidth="1" min="6" max="6"/>
    <col width="15" customWidth="1" min="7" max="7"/>
    <col width="14" customWidth="1" min="8" max="8"/>
  </cols>
  <sheetData>
    <row r="1">
      <c r="A1" s="6" t="inlineStr">
        <is>
          <t>Таблица 2.1. Пропускная способность стояков К1 (полипропилен Ø110, отводы 45°)</t>
        </is>
      </c>
    </row>
    <row r="3" ht="32" customHeight="1">
      <c r="A3" s="7" t="inlineStr">
        <is>
          <t>Стояк</t>
        </is>
      </c>
      <c r="B3" s="7" t="inlineStr">
        <is>
          <t>N</t>
        </is>
      </c>
      <c r="C3" s="7" t="inlineStr">
        <is>
          <t>NP^tot</t>
        </is>
      </c>
      <c r="D3" s="7" t="inlineStr">
        <is>
          <t>α</t>
        </is>
      </c>
      <c r="E3" s="7" t="inlineStr">
        <is>
          <t>q^tot, л/с</t>
        </is>
      </c>
      <c r="F3" s="7" t="inlineStr">
        <is>
          <t>q^s, л/с</t>
        </is>
      </c>
      <c r="G3" s="7" t="inlineStr">
        <is>
          <t>Допустимо, л/с</t>
        </is>
      </c>
      <c r="H3" s="7" t="inlineStr">
        <is>
          <t>Вывод</t>
        </is>
      </c>
    </row>
    <row r="4">
      <c r="A4" s="4" t="inlineStr">
        <is>
          <t>Ст.К1-1</t>
        </is>
      </c>
      <c r="B4" s="16">
        <f>N_PR*N_ET</f>
        <v/>
      </c>
      <c r="C4" s="23">
        <f>B4*P_TOT</f>
        <v/>
      </c>
      <c r="D4" s="19">
        <f>IF(C4&lt;0.015,0.2,INDEX(B2_A,MATCH(C4,B2_NP,1))+(C4-INDEX(B2_NP,MATCH(C4,B2_NP,1)))*(INDEX(B2_A,MATCH(C4,B2_NP,1)+1)-INDEX(B2_A,MATCH(C4,B2_NP,1)))/(INDEX(B2_NP,MATCH(C4,B2_NP,1)+1)-INDEX(B2_NP,MATCH(C4,B2_NP,1))))</f>
        <v/>
      </c>
      <c r="E4" s="19">
        <f>5*Q0_TOT*D4</f>
        <v/>
      </c>
      <c r="F4" s="21">
        <f>E4+1.6</f>
        <v/>
      </c>
      <c r="G4" s="11" t="n">
        <v>5.9</v>
      </c>
      <c r="H4" s="8">
        <f>IF(F4&lt;=G4,"обеспечена","нет")</f>
        <v/>
      </c>
    </row>
    <row r="5">
      <c r="A5" s="4" t="inlineStr">
        <is>
          <t>Ст.К1-2</t>
        </is>
      </c>
      <c r="B5" s="16">
        <f>N_PR*N_ET</f>
        <v/>
      </c>
      <c r="C5" s="23">
        <f>B5*P_TOT</f>
        <v/>
      </c>
      <c r="D5" s="19">
        <f>IF(C5&lt;0.015,0.2,INDEX(B2_A,MATCH(C5,B2_NP,1))+(C5-INDEX(B2_NP,MATCH(C5,B2_NP,1)))*(INDEX(B2_A,MATCH(C5,B2_NP,1)+1)-INDEX(B2_A,MATCH(C5,B2_NP,1)))/(INDEX(B2_NP,MATCH(C5,B2_NP,1)+1)-INDEX(B2_NP,MATCH(C5,B2_NP,1))))</f>
        <v/>
      </c>
      <c r="E5" s="19">
        <f>5*Q0_TOT*D5</f>
        <v/>
      </c>
      <c r="F5" s="21">
        <f>E5+1.6</f>
        <v/>
      </c>
      <c r="G5" s="11" t="n">
        <v>5.9</v>
      </c>
      <c r="H5" s="8">
        <f>IF(F5&lt;=G5,"обеспечена","нет")</f>
        <v/>
      </c>
    </row>
    <row r="6">
      <c r="A6" s="4" t="inlineStr">
        <is>
          <t>Ст.К1-3</t>
        </is>
      </c>
      <c r="B6" s="16">
        <f>N_PR*N_ET</f>
        <v/>
      </c>
      <c r="C6" s="23">
        <f>B6*P_TOT</f>
        <v/>
      </c>
      <c r="D6" s="19">
        <f>IF(C6&lt;0.015,0.2,INDEX(B2_A,MATCH(C6,B2_NP,1))+(C6-INDEX(B2_NP,MATCH(C6,B2_NP,1)))*(INDEX(B2_A,MATCH(C6,B2_NP,1)+1)-INDEX(B2_A,MATCH(C6,B2_NP,1)))/(INDEX(B2_NP,MATCH(C6,B2_NP,1)+1)-INDEX(B2_NP,MATCH(C6,B2_NP,1))))</f>
        <v/>
      </c>
      <c r="E6" s="19">
        <f>5*Q0_TOT*D6</f>
        <v/>
      </c>
      <c r="F6" s="21">
        <f>E6+1.6</f>
        <v/>
      </c>
      <c r="G6" s="11" t="n">
        <v>5.9</v>
      </c>
      <c r="H6" s="8">
        <f>IF(F6&lt;=G6,"обеспечена","нет")</f>
        <v/>
      </c>
    </row>
    <row r="7">
      <c r="A7" s="4" t="inlineStr">
        <is>
          <t>Ст.К1-4</t>
        </is>
      </c>
      <c r="B7" s="16">
        <f>N_PR*N_ET</f>
        <v/>
      </c>
      <c r="C7" s="23">
        <f>B7*P_TOT</f>
        <v/>
      </c>
      <c r="D7" s="19">
        <f>IF(C7&lt;0.015,0.2,INDEX(B2_A,MATCH(C7,B2_NP,1))+(C7-INDEX(B2_NP,MATCH(C7,B2_NP,1)))*(INDEX(B2_A,MATCH(C7,B2_NP,1)+1)-INDEX(B2_A,MATCH(C7,B2_NP,1)))/(INDEX(B2_NP,MATCH(C7,B2_NP,1)+1)-INDEX(B2_NP,MATCH(C7,B2_NP,1))))</f>
        <v/>
      </c>
      <c r="E7" s="19">
        <f>5*Q0_TOT*D7</f>
        <v/>
      </c>
      <c r="F7" s="21">
        <f>E7+1.6</f>
        <v/>
      </c>
      <c r="G7" s="11" t="n">
        <v>5.9</v>
      </c>
      <c r="H7" s="8">
        <f>IF(F7&lt;=G7,"обеспечена","нет")</f>
        <v/>
      </c>
    </row>
    <row r="8">
      <c r="A8" s="4" t="inlineStr">
        <is>
          <t>Ст.К1-5</t>
        </is>
      </c>
      <c r="B8" s="16">
        <f>N_PR*N_ET</f>
        <v/>
      </c>
      <c r="C8" s="23">
        <f>B8*P_TOT</f>
        <v/>
      </c>
      <c r="D8" s="19">
        <f>IF(C8&lt;0.015,0.2,INDEX(B2_A,MATCH(C8,B2_NP,1))+(C8-INDEX(B2_NP,MATCH(C8,B2_NP,1)))*(INDEX(B2_A,MATCH(C8,B2_NP,1)+1)-INDEX(B2_A,MATCH(C8,B2_NP,1)))/(INDEX(B2_NP,MATCH(C8,B2_NP,1)+1)-INDEX(B2_NP,MATCH(C8,B2_NP,1))))</f>
        <v/>
      </c>
      <c r="E8" s="19">
        <f>5*Q0_TOT*D8</f>
        <v/>
      </c>
      <c r="F8" s="21">
        <f>E8+1.6</f>
        <v/>
      </c>
      <c r="G8" s="11" t="n">
        <v>5.9</v>
      </c>
      <c r="H8" s="8">
        <f>IF(F8&lt;=G8,"обеспечена","нет")</f>
        <v/>
      </c>
    </row>
    <row r="9">
      <c r="A9" s="4" t="inlineStr">
        <is>
          <t>Ст.К1-6</t>
        </is>
      </c>
      <c r="B9" s="16">
        <f>N_PR*N_ET</f>
        <v/>
      </c>
      <c r="C9" s="23">
        <f>B9*P_TOT</f>
        <v/>
      </c>
      <c r="D9" s="19">
        <f>IF(C9&lt;0.015,0.2,INDEX(B2_A,MATCH(C9,B2_NP,1))+(C9-INDEX(B2_NP,MATCH(C9,B2_NP,1)))*(INDEX(B2_A,MATCH(C9,B2_NP,1)+1)-INDEX(B2_A,MATCH(C9,B2_NP,1)))/(INDEX(B2_NP,MATCH(C9,B2_NP,1)+1)-INDEX(B2_NP,MATCH(C9,B2_NP,1))))</f>
        <v/>
      </c>
      <c r="E9" s="19">
        <f>5*Q0_TOT*D9</f>
        <v/>
      </c>
      <c r="F9" s="21">
        <f>E9+1.6</f>
        <v/>
      </c>
      <c r="G9" s="11" t="n">
        <v>5.9</v>
      </c>
      <c r="H9" s="8">
        <f>IF(F9&lt;=G9,"обеспечена","нет")</f>
        <v/>
      </c>
    </row>
    <row r="11">
      <c r="A11" s="15" t="inlineStr">
        <is>
          <t>q^s = q^tot + q_0^s, q_0^s = 1,6 л/с (унитаз со смывным бачком, табл. А.1). Допустимый расход — прил. К СП 30.13330.2020.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7" customWidth="1" min="3" max="3"/>
    <col width="10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  <col width="8" customWidth="1" min="10" max="10"/>
    <col width="8" customWidth="1" min="11" max="11"/>
    <col width="9" customWidth="1" min="12" max="12"/>
    <col width="11" customWidth="1" min="13" max="13"/>
    <col width="9" customWidth="1" min="14" max="14"/>
  </cols>
  <sheetData>
    <row r="1">
      <c r="A1" s="6" t="inlineStr">
        <is>
          <t>Таблица 2.2. Расчёт горизонтальных участков К1 и дворовой сети</t>
        </is>
      </c>
    </row>
    <row r="3" ht="32" customHeight="1">
      <c r="A3" s="7" t="inlineStr">
        <is>
          <t>Участок</t>
        </is>
      </c>
      <c r="B3" s="7" t="inlineStr">
        <is>
          <t>L, м</t>
        </is>
      </c>
      <c r="C3" s="7" t="inlineStr">
        <is>
          <t>N</t>
        </is>
      </c>
      <c r="D3" s="7" t="inlineStr">
        <is>
          <t>P_hr^tot</t>
        </is>
      </c>
      <c r="E3" s="7" t="inlineStr">
        <is>
          <t>α_hr</t>
        </is>
      </c>
      <c r="F3" s="7" t="inlineStr">
        <is>
          <t>q_hr, м³/ч</t>
        </is>
      </c>
      <c r="G3" s="7" t="inlineStr">
        <is>
          <t>K_s</t>
        </is>
      </c>
      <c r="H3" s="7" t="inlineStr">
        <is>
          <t>q^sL, л/с</t>
        </is>
      </c>
      <c r="I3" s="7" t="inlineStr">
        <is>
          <t>d, мм</t>
        </is>
      </c>
      <c r="J3" s="7" t="inlineStr">
        <is>
          <t>i</t>
        </is>
      </c>
      <c r="K3" s="7" t="inlineStr">
        <is>
          <t>h/d</t>
        </is>
      </c>
      <c r="L3" s="7" t="inlineStr">
        <is>
          <t>V, м/с</t>
        </is>
      </c>
      <c r="M3" s="7" t="inlineStr">
        <is>
          <t>V·√(h/d)</t>
        </is>
      </c>
      <c r="N3" s="7" t="inlineStr">
        <is>
          <t>iL, м</t>
        </is>
      </c>
    </row>
    <row r="4">
      <c r="A4" s="4" t="inlineStr">
        <is>
          <t>сборный: ст. кв. В - ст. кв. Б (чугун SML)</t>
        </is>
      </c>
      <c r="B4" s="11" t="n">
        <v>1.532</v>
      </c>
      <c r="C4" s="9" t="n">
        <v>44</v>
      </c>
      <c r="D4" s="20">
        <f>PHR_TOT</f>
        <v/>
      </c>
      <c r="E4" s="19">
        <f>IF((C4*D4)&lt;0.015,0.2,INDEX(B2_A,MATCH((C4*D4),B2_NP,1))+((C4*D4)-INDEX(B2_NP,MATCH((C4*D4),B2_NP,1)))*(INDEX(B2_A,MATCH((C4*D4),B2_NP,1)+1)-INDEX(B2_A,MATCH((C4*D4),B2_NP,1)))/(INDEX(B2_NP,MATCH((C4*D4),B2_NP,1)+1)-INDEX(B2_NP,MATCH((C4*D4),B2_NP,1))))</f>
        <v/>
      </c>
      <c r="F4" s="19">
        <f>0.005*Q0HR_TOT*E4</f>
        <v/>
      </c>
      <c r="G4" s="11" t="n">
        <v>0.6784</v>
      </c>
      <c r="H4" s="18">
        <f>F4/3.6+G4*1.1</f>
        <v/>
      </c>
      <c r="I4" s="9" t="n">
        <v>100</v>
      </c>
      <c r="J4" s="12" t="n">
        <v>0.02</v>
      </c>
      <c r="K4" s="11" t="n">
        <v>0.292</v>
      </c>
      <c r="L4" s="11" t="n">
        <v>0.668</v>
      </c>
      <c r="M4" s="25">
        <f>L4*SQRT(K4)</f>
        <v/>
      </c>
      <c r="N4" s="19">
        <f>B4*J4</f>
        <v/>
      </c>
    </row>
    <row r="5">
      <c r="A5" s="4" t="inlineStr">
        <is>
          <t>сборный: ст. кв. Б - линия выпуска (чугун SML)</t>
        </is>
      </c>
      <c r="B5" s="11" t="n">
        <v>12.211</v>
      </c>
      <c r="C5" s="9" t="n">
        <v>88</v>
      </c>
      <c r="D5" s="20">
        <f>PHR_TOT</f>
        <v/>
      </c>
      <c r="E5" s="19">
        <f>IF((C5*D5)&lt;0.015,0.2,INDEX(B2_A,MATCH((C5*D5),B2_NP,1))+((C5*D5)-INDEX(B2_NP,MATCH((C5*D5),B2_NP,1)))*(INDEX(B2_A,MATCH((C5*D5),B2_NP,1)+1)-INDEX(B2_A,MATCH((C5*D5),B2_NP,1)))/(INDEX(B2_NP,MATCH((C5*D5),B2_NP,1)+1)-INDEX(B2_NP,MATCH((C5*D5),B2_NP,1))))</f>
        <v/>
      </c>
      <c r="F5" s="19">
        <f>0.005*Q0HR_TOT*E5</f>
        <v/>
      </c>
      <c r="G5" s="11" t="n">
        <v>0.5263</v>
      </c>
      <c r="H5" s="18">
        <f>F5/3.6+G5*1.1</f>
        <v/>
      </c>
      <c r="I5" s="9" t="n">
        <v>100</v>
      </c>
      <c r="J5" s="12" t="n">
        <v>0.02</v>
      </c>
      <c r="K5" s="11" t="n">
        <v>0.305</v>
      </c>
      <c r="L5" s="11" t="n">
        <v>0.6830000000000001</v>
      </c>
      <c r="M5" s="25">
        <f>L5*SQRT(K5)</f>
        <v/>
      </c>
      <c r="N5" s="19">
        <f>B5*J5</f>
        <v/>
      </c>
    </row>
    <row r="6">
      <c r="A6" s="4" t="inlineStr">
        <is>
          <t>сборный: ст. кв. А - линия выпуска (чугун SML)</t>
        </is>
      </c>
      <c r="B6" s="11" t="n">
        <v>4.469</v>
      </c>
      <c r="C6" s="9" t="n">
        <v>44</v>
      </c>
      <c r="D6" s="20">
        <f>PHR_TOT</f>
        <v/>
      </c>
      <c r="E6" s="19">
        <f>IF((C6*D6)&lt;0.015,0.2,INDEX(B2_A,MATCH((C6*D6),B2_NP,1))+((C6*D6)-INDEX(B2_NP,MATCH((C6*D6),B2_NP,1)))*(INDEX(B2_A,MATCH((C6*D6),B2_NP,1)+1)-INDEX(B2_A,MATCH((C6*D6),B2_NP,1)))/(INDEX(B2_NP,MATCH((C6*D6),B2_NP,1)+1)-INDEX(B2_NP,MATCH((C6*D6),B2_NP,1))))</f>
        <v/>
      </c>
      <c r="F6" s="19">
        <f>0.005*Q0HR_TOT*E6</f>
        <v/>
      </c>
      <c r="G6" s="11" t="n">
        <v>0.5693</v>
      </c>
      <c r="H6" s="18">
        <f>F6/3.6+G6*1.1</f>
        <v/>
      </c>
      <c r="I6" s="9" t="n">
        <v>100</v>
      </c>
      <c r="J6" s="12" t="n">
        <v>0.02</v>
      </c>
      <c r="K6" s="11" t="n">
        <v>0.278</v>
      </c>
      <c r="L6" s="11" t="n">
        <v>0.649</v>
      </c>
      <c r="M6" s="25">
        <f>L6*SQRT(K6)</f>
        <v/>
      </c>
      <c r="N6" s="19">
        <f>B6*J6</f>
        <v/>
      </c>
    </row>
    <row r="7">
      <c r="A7" s="4" t="inlineStr">
        <is>
          <t>линия выпуска: тройник - опуск у стены (чугун SML)</t>
        </is>
      </c>
      <c r="B7" s="11" t="n">
        <v>3.7</v>
      </c>
      <c r="C7" s="9" t="n">
        <v>132</v>
      </c>
      <c r="D7" s="20">
        <f>PHR_TOT</f>
        <v/>
      </c>
      <c r="E7" s="19">
        <f>IF((C7*D7)&lt;0.015,0.2,INDEX(B2_A,MATCH((C7*D7),B2_NP,1))+((C7*D7)-INDEX(B2_NP,MATCH((C7*D7),B2_NP,1)))*(INDEX(B2_A,MATCH((C7*D7),B2_NP,1)+1)-INDEX(B2_A,MATCH((C7*D7),B2_NP,1)))/(INDEX(B2_NP,MATCH((C7*D7),B2_NP,1)+1)-INDEX(B2_NP,MATCH((C7*D7),B2_NP,1))))</f>
        <v/>
      </c>
      <c r="F7" s="19">
        <f>0.005*Q0HR_TOT*E7</f>
        <v/>
      </c>
      <c r="G7" s="11" t="n">
        <v>0.6915</v>
      </c>
      <c r="H7" s="18">
        <f>F7/3.6+G7*1.1</f>
        <v/>
      </c>
      <c r="I7" s="9" t="n">
        <v>100</v>
      </c>
      <c r="J7" s="12" t="n">
        <v>0.02</v>
      </c>
      <c r="K7" s="11" t="n">
        <v>0.35</v>
      </c>
      <c r="L7" s="11" t="n">
        <v>0.736</v>
      </c>
      <c r="M7" s="25">
        <f>L7*SQRT(K7)</f>
        <v/>
      </c>
      <c r="N7" s="19">
        <f>B7*J7</f>
        <v/>
      </c>
    </row>
    <row r="8">
      <c r="A8" s="4" t="inlineStr">
        <is>
          <t>выпуск: опуск - КК (чугун SML)</t>
        </is>
      </c>
      <c r="B8" s="11" t="n">
        <v>5.63</v>
      </c>
      <c r="C8" s="9" t="n">
        <v>132</v>
      </c>
      <c r="D8" s="20">
        <f>PHR_TOT</f>
        <v/>
      </c>
      <c r="E8" s="19">
        <f>IF((C8*D8)&lt;0.015,0.2,INDEX(B2_A,MATCH((C8*D8),B2_NP,1))+((C8*D8)-INDEX(B2_NP,MATCH((C8*D8),B2_NP,1)))*(INDEX(B2_A,MATCH((C8*D8),B2_NP,1)+1)-INDEX(B2_A,MATCH((C8*D8),B2_NP,1)))/(INDEX(B2_NP,MATCH((C8*D8),B2_NP,1)+1)-INDEX(B2_NP,MATCH((C8*D8),B2_NP,1))))</f>
        <v/>
      </c>
      <c r="F8" s="19">
        <f>0.005*Q0HR_TOT*E8</f>
        <v/>
      </c>
      <c r="G8" s="11" t="n">
        <v>0.6482</v>
      </c>
      <c r="H8" s="18">
        <f>F8/3.6+G8*1.1</f>
        <v/>
      </c>
      <c r="I8" s="9" t="n">
        <v>100</v>
      </c>
      <c r="J8" s="12" t="n">
        <v>0.01</v>
      </c>
      <c r="K8" s="11" t="n">
        <v>0.416</v>
      </c>
      <c r="L8" s="11" t="n">
        <v>0.5679999999999999</v>
      </c>
      <c r="M8" s="25">
        <f>L8*SQRT(K8)</f>
        <v/>
      </c>
      <c r="N8" s="19">
        <f>B8*J8</f>
        <v/>
      </c>
    </row>
    <row r="9">
      <c r="A9" s="4" t="inlineStr">
        <is>
          <t>КК-1 - КК-3 (ПЭ гофр. Ø160)</t>
        </is>
      </c>
      <c r="B9" s="11" t="n">
        <v>39.3</v>
      </c>
      <c r="C9" s="9" t="n">
        <v>132</v>
      </c>
      <c r="D9" s="20">
        <f>PHR_TOT</f>
        <v/>
      </c>
      <c r="E9" s="19">
        <f>IF((C9*D9)&lt;0.015,0.2,INDEX(B2_A,MATCH((C9*D9),B2_NP,1))+((C9*D9)-INDEX(B2_NP,MATCH((C9*D9),B2_NP,1)))*(INDEX(B2_A,MATCH((C9*D9),B2_NP,1)+1)-INDEX(B2_A,MATCH((C9*D9),B2_NP,1)))/(INDEX(B2_NP,MATCH((C9*D9),B2_NP,1)+1)-INDEX(B2_NP,MATCH((C9*D9),B2_NP,1))))</f>
        <v/>
      </c>
      <c r="F9" s="19">
        <f>0.005*Q0HR_TOT*E9</f>
        <v/>
      </c>
      <c r="G9" s="11" t="n">
        <v>0.4298</v>
      </c>
      <c r="H9" s="18">
        <f>F9/3.6+G9*1.1</f>
        <v/>
      </c>
      <c r="I9" s="9" t="n">
        <v>150</v>
      </c>
      <c r="J9" s="12" t="n">
        <v>0.008</v>
      </c>
      <c r="K9" s="11" t="n">
        <v>0.233</v>
      </c>
      <c r="L9" s="11" t="n">
        <v>0.486</v>
      </c>
      <c r="M9" s="25">
        <f>L9*SQRT(K9)</f>
        <v/>
      </c>
      <c r="N9" s="19">
        <f>B9*J9</f>
        <v/>
      </c>
    </row>
    <row r="10">
      <c r="A10" s="4" t="inlineStr">
        <is>
          <t>КК-3 - ККК (ПЭ гофр. Ø160)</t>
        </is>
      </c>
      <c r="B10" s="11" t="n">
        <v>11.8</v>
      </c>
      <c r="C10" s="9" t="n">
        <v>264</v>
      </c>
      <c r="D10" s="20">
        <f>PHR_TOT</f>
        <v/>
      </c>
      <c r="E10" s="19">
        <f>IF((C10*D10)&lt;0.015,0.2,INDEX(B2_A,MATCH((C10*D10),B2_NP,1))+((C10*D10)-INDEX(B2_NP,MATCH((C10*D10),B2_NP,1)))*(INDEX(B2_A,MATCH((C10*D10),B2_NP,1)+1)-INDEX(B2_A,MATCH((C10*D10),B2_NP,1)))/(INDEX(B2_NP,MATCH((C10*D10),B2_NP,1)+1)-INDEX(B2_NP,MATCH((C10*D10),B2_NP,1))))</f>
        <v/>
      </c>
      <c r="F10" s="19">
        <f>0.005*Q0HR_TOT*E10</f>
        <v/>
      </c>
      <c r="G10" s="11" t="n">
        <v>0.6701</v>
      </c>
      <c r="H10" s="18">
        <f>F10/3.6+G10*1.1</f>
        <v/>
      </c>
      <c r="I10" s="9" t="n">
        <v>150</v>
      </c>
      <c r="J10" s="12" t="n">
        <v>0.008</v>
      </c>
      <c r="K10" s="11" t="n">
        <v>0.295</v>
      </c>
      <c r="L10" s="11" t="n">
        <v>0.556</v>
      </c>
      <c r="M10" s="25">
        <f>L10*SQRT(K10)</f>
        <v/>
      </c>
      <c r="N10" s="19">
        <f>B10*J10</f>
        <v/>
      </c>
    </row>
    <row r="11">
      <c r="A11" s="4" t="inlineStr">
        <is>
          <t>ККК - ГКК (ПЭ гофр. Ø160)</t>
        </is>
      </c>
      <c r="B11" s="11" t="n">
        <v>6.2</v>
      </c>
      <c r="C11" s="9" t="n">
        <v>264</v>
      </c>
      <c r="D11" s="20">
        <f>PHR_TOT</f>
        <v/>
      </c>
      <c r="E11" s="19">
        <f>IF((C11*D11)&lt;0.015,0.2,INDEX(B2_A,MATCH((C11*D11),B2_NP,1))+((C11*D11)-INDEX(B2_NP,MATCH((C11*D11),B2_NP,1)))*(INDEX(B2_A,MATCH((C11*D11),B2_NP,1)+1)-INDEX(B2_A,MATCH((C11*D11),B2_NP,1)))/(INDEX(B2_NP,MATCH((C11*D11),B2_NP,1)+1)-INDEX(B2_NP,MATCH((C11*D11),B2_NP,1))))</f>
        <v/>
      </c>
      <c r="F11" s="19">
        <f>0.005*Q0HR_TOT*E11</f>
        <v/>
      </c>
      <c r="G11" s="11" t="n">
        <v>0.7259</v>
      </c>
      <c r="H11" s="18">
        <f>F11/3.6+G11*1.1</f>
        <v/>
      </c>
      <c r="I11" s="9" t="n">
        <v>150</v>
      </c>
      <c r="J11" s="12" t="n">
        <v>0.008</v>
      </c>
      <c r="K11" s="11" t="n">
        <v>0.299</v>
      </c>
      <c r="L11" s="11" t="n">
        <v>0.5600000000000001</v>
      </c>
      <c r="M11" s="25">
        <f>L11*SQRT(K11)</f>
        <v/>
      </c>
      <c r="N11" s="19">
        <f>B11*J11</f>
        <v/>
      </c>
    </row>
    <row r="13" ht="28" customHeight="1">
      <c r="A13" s="27" t="inlineStr">
        <is>
          <t>q^sL = q_hr/3,6 + K_s·q_0^s1 (q_0^s1 = 1,1 л/с — ванна). K_s — по табл. 5.1 СП 30 с интерполяцией по L и N; h/d и V — по формуле Н.Н. Павловского (n = 0,014, таблицы Лукиных) при принятых d и i. Все участки безрасчётные: условие V·√(h/d) ≥ K невыполнимо при малых расходах, уклон i ≥ 1/d.</t>
        </is>
      </c>
    </row>
    <row r="14"/>
  </sheetData>
  <mergeCells count="1">
    <mergeCell ref="A13:N14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10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4" customWidth="1" min="5" max="5"/>
    <col width="30" customWidth="1" min="6" max="6"/>
  </cols>
  <sheetData>
    <row r="1">
      <c r="A1" s="6" t="inlineStr">
        <is>
          <t>Таблица 2.3. Отметки лотков и глубина колодцев дворовой сети К1 (абсолютные), м</t>
        </is>
      </c>
    </row>
    <row r="3" ht="32" customHeight="1">
      <c r="A3" s="7" t="inlineStr">
        <is>
          <t>Точка</t>
        </is>
      </c>
      <c r="B3" s="7" t="inlineStr">
        <is>
          <t>Земля</t>
        </is>
      </c>
      <c r="C3" s="7" t="inlineStr">
        <is>
          <t>Лоток</t>
        </is>
      </c>
      <c r="D3" s="7" t="inlineStr">
        <is>
          <t>Глубина лотка</t>
        </is>
      </c>
      <c r="E3" s="7" t="inlineStr">
        <is>
          <t>Не мельче H₀</t>
        </is>
      </c>
      <c r="F3" s="7" t="inlineStr">
        <is>
          <t>Как получен лоток</t>
        </is>
      </c>
    </row>
    <row r="4">
      <c r="A4" s="4" t="inlineStr">
        <is>
          <t>Выпуск у стены (−2,000)</t>
        </is>
      </c>
      <c r="B4" s="30" t="inlineStr">
        <is>
          <t>—</t>
        </is>
      </c>
      <c r="C4" s="25">
        <f>Z0_ABS-2</f>
        <v/>
      </c>
      <c r="D4" s="4" t="inlineStr">
        <is>
          <t>—</t>
        </is>
      </c>
      <c r="E4" s="4" t="inlineStr">
        <is>
          <t>—</t>
        </is>
      </c>
      <c r="F4" s="4" t="inlineStr">
        <is>
          <t>лоток выпуска у стены</t>
        </is>
      </c>
    </row>
    <row r="5">
      <c r="A5" s="4" t="inlineStr">
        <is>
          <t>Выпуск в КК-1 (Ø100)</t>
        </is>
      </c>
      <c r="B5" s="30" t="inlineStr">
        <is>
          <t>—</t>
        </is>
      </c>
      <c r="C5" s="25">
        <f>C4-K1_I_4*5</f>
        <v/>
      </c>
      <c r="D5" s="4" t="inlineStr">
        <is>
          <t>—</t>
        </is>
      </c>
      <c r="E5" s="4" t="inlineStr">
        <is>
          <t>—</t>
        </is>
      </c>
      <c r="F5" s="4" t="inlineStr">
        <is>
          <t>−i·5 м (стена — колодец)</t>
        </is>
      </c>
    </row>
    <row r="6">
      <c r="A6" s="4" t="inlineStr">
        <is>
          <t>КК-1</t>
        </is>
      </c>
      <c r="B6" s="11" t="n">
        <v>100.83</v>
      </c>
      <c r="C6" s="25">
        <f>C5+0.1-0.15</f>
        <v/>
      </c>
      <c r="D6" s="18">
        <f>B6-C6</f>
        <v/>
      </c>
      <c r="E6" s="8">
        <f>IF(D6&gt;=H0_MIN,"да","нет")</f>
        <v/>
      </c>
      <c r="F6" s="4" t="inlineStr">
        <is>
          <t>шелыга в шелыгу: Ø100 → Ø150</t>
        </is>
      </c>
    </row>
    <row r="7">
      <c r="A7" s="4" t="inlineStr">
        <is>
          <t>КК-3</t>
        </is>
      </c>
      <c r="B7" s="11" t="n">
        <v>100.57</v>
      </c>
      <c r="C7" s="25">
        <f>C6-K1_IL_5</f>
        <v/>
      </c>
      <c r="D7" s="18">
        <f>B7-C7</f>
        <v/>
      </c>
      <c r="E7" s="8">
        <f>IF(D7&gt;=H0_MIN,"да","нет")</f>
        <v/>
      </c>
      <c r="F7" s="4" t="inlineStr">
        <is>
          <t>− i·L участка КК-1–КК-3 (КК-2 убран)</t>
        </is>
      </c>
    </row>
    <row r="8">
      <c r="A8" s="4" t="inlineStr">
        <is>
          <t>ККК</t>
        </is>
      </c>
      <c r="B8" s="11" t="n">
        <v>100.4</v>
      </c>
      <c r="C8" s="25">
        <f>C7-K1_IL_6</f>
        <v/>
      </c>
      <c r="D8" s="18">
        <f>B8-C8</f>
        <v/>
      </c>
      <c r="E8" s="8">
        <f>IF(D8&gt;=H0_MIN,"да","нет")</f>
        <v/>
      </c>
      <c r="F8" s="4" t="inlineStr">
        <is>
          <t>− i·L участка КК-3–ККК</t>
        </is>
      </c>
    </row>
    <row r="9">
      <c r="A9" s="4" t="inlineStr">
        <is>
          <t>ГКК</t>
        </is>
      </c>
      <c r="B9" s="11" t="n">
        <v>100.3</v>
      </c>
      <c r="C9" s="25">
        <f>C8-K1_IL_7</f>
        <v/>
      </c>
      <c r="D9" s="18">
        <f>B9-C9</f>
        <v/>
      </c>
      <c r="E9" s="8">
        <f>IF(D9&gt;=H0_MIN,"да","нет")</f>
        <v/>
      </c>
      <c r="F9" s="4" t="inlineStr">
        <is>
          <t>− i·L участка ККК–ГКК</t>
        </is>
      </c>
    </row>
    <row r="12">
      <c r="A12" s="3" t="inlineStr">
        <is>
          <t>H₀ = max(H_пр − 0,3; 0,7 + d)</t>
        </is>
      </c>
      <c r="C12" s="18">
        <f>MAX(H_PROMERZ-0.3,0.7+0.15)</f>
        <v/>
      </c>
    </row>
    <row r="13">
      <c r="A13" s="4" t="inlineStr">
        <is>
          <t>Лоток городского коллектора Ø400 в ГКК («по месту»)</t>
        </is>
      </c>
      <c r="C13" s="11" t="n">
        <v>97.8</v>
      </c>
    </row>
    <row r="14">
      <c r="A14" s="4" t="inlineStr">
        <is>
          <t>Дворовая труба входит выше шелыги коллектора на, м</t>
        </is>
      </c>
      <c r="C14" s="25">
        <f>C9-(C13+0.4)</f>
        <v/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582"/>
  <sheetViews>
    <sheetView showGridLines="1" workbookViewId="0">
      <selection activeCell="A1" sqref="A1"/>
    </sheetView>
  </sheetViews>
  <sheetFormatPr baseColWidth="8" defaultRowHeight="15"/>
  <sheetData>
    <row r="1">
      <c r="A1" s="22" t="inlineStr">
        <is>
          <t>NP</t>
        </is>
      </c>
      <c r="B1" s="22" t="inlineStr">
        <is>
          <t>α</t>
        </is>
      </c>
    </row>
    <row r="2">
      <c r="A2" s="31" t="n">
        <v>0.015</v>
      </c>
      <c r="B2" s="31" t="n">
        <v>0.202</v>
      </c>
    </row>
    <row r="3">
      <c r="A3" s="31" t="n">
        <v>0.016</v>
      </c>
      <c r="B3" s="31" t="n">
        <v>0.205</v>
      </c>
    </row>
    <row r="4">
      <c r="A4" s="31" t="n">
        <v>0.017</v>
      </c>
      <c r="B4" s="31" t="n">
        <v>0.207</v>
      </c>
    </row>
    <row r="5">
      <c r="A5" s="31" t="n">
        <v>0.018</v>
      </c>
      <c r="B5" s="31" t="n">
        <v>0.21</v>
      </c>
    </row>
    <row r="6">
      <c r="A6" s="31" t="n">
        <v>0.019</v>
      </c>
      <c r="B6" s="31" t="n">
        <v>0.212</v>
      </c>
    </row>
    <row r="7">
      <c r="A7" s="31" t="n">
        <v>0.02</v>
      </c>
      <c r="B7" s="31" t="n">
        <v>0.215</v>
      </c>
    </row>
    <row r="8">
      <c r="A8" s="31" t="n">
        <v>0.021</v>
      </c>
      <c r="B8" s="31" t="n">
        <v>0.217</v>
      </c>
    </row>
    <row r="9">
      <c r="A9" s="31" t="n">
        <v>0.022</v>
      </c>
      <c r="B9" s="31" t="n">
        <v>0.219</v>
      </c>
    </row>
    <row r="10">
      <c r="A10" s="31" t="n">
        <v>0.023</v>
      </c>
      <c r="B10" s="31" t="n">
        <v>0.222</v>
      </c>
    </row>
    <row r="11">
      <c r="A11" s="31" t="n">
        <v>0.024</v>
      </c>
      <c r="B11" s="31" t="n">
        <v>0.224</v>
      </c>
    </row>
    <row r="12">
      <c r="A12" s="31" t="n">
        <v>0.025</v>
      </c>
      <c r="B12" s="31" t="n">
        <v>0.226</v>
      </c>
    </row>
    <row r="13">
      <c r="A13" s="31" t="n">
        <v>0.026</v>
      </c>
      <c r="B13" s="31" t="n">
        <v>0.228</v>
      </c>
    </row>
    <row r="14">
      <c r="A14" s="31" t="n">
        <v>0.027</v>
      </c>
      <c r="B14" s="31" t="n">
        <v>0.23</v>
      </c>
    </row>
    <row r="15">
      <c r="A15" s="31" t="n">
        <v>0.028</v>
      </c>
      <c r="B15" s="31" t="n">
        <v>0.233</v>
      </c>
    </row>
    <row r="16">
      <c r="A16" s="31" t="n">
        <v>0.029</v>
      </c>
      <c r="B16" s="31" t="n">
        <v>0.235</v>
      </c>
    </row>
    <row r="17">
      <c r="A17" s="31" t="n">
        <v>0.03</v>
      </c>
      <c r="B17" s="31" t="n">
        <v>0.237</v>
      </c>
    </row>
    <row r="18">
      <c r="A18" s="31" t="n">
        <v>0.031</v>
      </c>
      <c r="B18" s="31" t="n">
        <v>0.239</v>
      </c>
    </row>
    <row r="19">
      <c r="A19" s="31" t="n">
        <v>0.032</v>
      </c>
      <c r="B19" s="31" t="n">
        <v>0.241</v>
      </c>
    </row>
    <row r="20">
      <c r="A20" s="31" t="n">
        <v>0.033</v>
      </c>
      <c r="B20" s="31" t="n">
        <v>0.243</v>
      </c>
    </row>
    <row r="21">
      <c r="A21" s="31" t="n">
        <v>0.034</v>
      </c>
      <c r="B21" s="31" t="n">
        <v>0.245</v>
      </c>
    </row>
    <row r="22">
      <c r="A22" s="31" t="n">
        <v>0.035</v>
      </c>
      <c r="B22" s="31" t="n">
        <v>0.247</v>
      </c>
    </row>
    <row r="23">
      <c r="A23" s="31" t="n">
        <v>0.036</v>
      </c>
      <c r="B23" s="31" t="n">
        <v>0.249</v>
      </c>
    </row>
    <row r="24">
      <c r="A24" s="31" t="n">
        <v>0.037</v>
      </c>
      <c r="B24" s="31" t="n">
        <v>0.25</v>
      </c>
    </row>
    <row r="25">
      <c r="A25" s="31" t="n">
        <v>0.038</v>
      </c>
      <c r="B25" s="31" t="n">
        <v>0.252</v>
      </c>
    </row>
    <row r="26">
      <c r="A26" s="31" t="n">
        <v>0.039</v>
      </c>
      <c r="B26" s="31" t="n">
        <v>0.254</v>
      </c>
    </row>
    <row r="27">
      <c r="A27" s="31" t="n">
        <v>0.04</v>
      </c>
      <c r="B27" s="31" t="n">
        <v>0.256</v>
      </c>
    </row>
    <row r="28">
      <c r="A28" s="31" t="n">
        <v>0.041</v>
      </c>
      <c r="B28" s="31" t="n">
        <v>0.258</v>
      </c>
    </row>
    <row r="29">
      <c r="A29" s="31" t="n">
        <v>0.042</v>
      </c>
      <c r="B29" s="31" t="n">
        <v>0.259</v>
      </c>
    </row>
    <row r="30">
      <c r="A30" s="31" t="n">
        <v>0.043</v>
      </c>
      <c r="B30" s="31" t="n">
        <v>0.261</v>
      </c>
    </row>
    <row r="31">
      <c r="A31" s="31" t="n">
        <v>0.044</v>
      </c>
      <c r="B31" s="31" t="n">
        <v>0.263</v>
      </c>
    </row>
    <row r="32">
      <c r="A32" s="31" t="n">
        <v>0.045</v>
      </c>
      <c r="B32" s="31" t="n">
        <v>0.265</v>
      </c>
    </row>
    <row r="33">
      <c r="A33" s="31" t="n">
        <v>0.046</v>
      </c>
      <c r="B33" s="31" t="n">
        <v>0.266</v>
      </c>
    </row>
    <row r="34">
      <c r="A34" s="31" t="n">
        <v>0.047</v>
      </c>
      <c r="B34" s="31" t="n">
        <v>0.268</v>
      </c>
    </row>
    <row r="35">
      <c r="A35" s="31" t="n">
        <v>0.048</v>
      </c>
      <c r="B35" s="31" t="n">
        <v>0.27</v>
      </c>
    </row>
    <row r="36">
      <c r="A36" s="31" t="n">
        <v>0.049</v>
      </c>
      <c r="B36" s="31" t="n">
        <v>0.271</v>
      </c>
    </row>
    <row r="37">
      <c r="A37" s="31" t="n">
        <v>0.05</v>
      </c>
      <c r="B37" s="31" t="n">
        <v>0.273</v>
      </c>
    </row>
    <row r="38">
      <c r="A38" s="31" t="n">
        <v>0.052</v>
      </c>
      <c r="B38" s="31" t="n">
        <v>0.276</v>
      </c>
    </row>
    <row r="39">
      <c r="A39" s="31" t="n">
        <v>0.054</v>
      </c>
      <c r="B39" s="31" t="n">
        <v>0.28</v>
      </c>
    </row>
    <row r="40">
      <c r="A40" s="31" t="n">
        <v>0.056</v>
      </c>
      <c r="B40" s="31" t="n">
        <v>0.283</v>
      </c>
    </row>
    <row r="41">
      <c r="A41" s="31" t="n">
        <v>0.058</v>
      </c>
      <c r="B41" s="31" t="n">
        <v>0.286</v>
      </c>
    </row>
    <row r="42">
      <c r="A42" s="31" t="n">
        <v>0.06</v>
      </c>
      <c r="B42" s="31" t="n">
        <v>0.289</v>
      </c>
    </row>
    <row r="43">
      <c r="A43" s="31" t="n">
        <v>0.062</v>
      </c>
      <c r="B43" s="31" t="n">
        <v>0.292</v>
      </c>
    </row>
    <row r="44">
      <c r="A44" s="31" t="n">
        <v>0.064</v>
      </c>
      <c r="B44" s="31" t="n">
        <v>0.295</v>
      </c>
    </row>
    <row r="45">
      <c r="A45" s="31" t="n">
        <v>0.065</v>
      </c>
      <c r="B45" s="31" t="n">
        <v>0.298</v>
      </c>
    </row>
    <row r="46">
      <c r="A46" s="31" t="n">
        <v>0.068</v>
      </c>
      <c r="B46" s="31" t="n">
        <v>0.301</v>
      </c>
    </row>
    <row r="47">
      <c r="A47" s="31" t="n">
        <v>0.07000000000000001</v>
      </c>
      <c r="B47" s="31" t="n">
        <v>0.304</v>
      </c>
    </row>
    <row r="48">
      <c r="A48" s="31" t="n">
        <v>0.07199999999999999</v>
      </c>
      <c r="B48" s="31" t="n">
        <v>0.307</v>
      </c>
    </row>
    <row r="49">
      <c r="A49" s="31" t="n">
        <v>0.074</v>
      </c>
      <c r="B49" s="31" t="n">
        <v>0.309</v>
      </c>
    </row>
    <row r="50">
      <c r="A50" s="31" t="n">
        <v>0.076</v>
      </c>
      <c r="B50" s="31" t="n">
        <v>0.312</v>
      </c>
    </row>
    <row r="51">
      <c r="A51" s="31" t="n">
        <v>0.078</v>
      </c>
      <c r="B51" s="31" t="n">
        <v>0.315</v>
      </c>
    </row>
    <row r="52">
      <c r="A52" s="31" t="n">
        <v>0.08</v>
      </c>
      <c r="B52" s="31" t="n">
        <v>0.318</v>
      </c>
    </row>
    <row r="53">
      <c r="A53" s="31" t="n">
        <v>0.082</v>
      </c>
      <c r="B53" s="31" t="n">
        <v>0.32</v>
      </c>
    </row>
    <row r="54">
      <c r="A54" s="31" t="n">
        <v>0.08400000000000001</v>
      </c>
      <c r="B54" s="31" t="n">
        <v>0.323</v>
      </c>
    </row>
    <row r="55">
      <c r="A55" s="31" t="n">
        <v>0.08599999999999999</v>
      </c>
      <c r="B55" s="31" t="n">
        <v>0.326</v>
      </c>
    </row>
    <row r="56">
      <c r="A56" s="31" t="n">
        <v>0.08799999999999999</v>
      </c>
      <c r="B56" s="31" t="n">
        <v>0.328</v>
      </c>
    </row>
    <row r="57">
      <c r="A57" s="31" t="n">
        <v>0.09</v>
      </c>
      <c r="B57" s="31" t="n">
        <v>0.331</v>
      </c>
    </row>
    <row r="58">
      <c r="A58" s="31" t="n">
        <v>0.092</v>
      </c>
      <c r="B58" s="31" t="n">
        <v>0.333</v>
      </c>
    </row>
    <row r="59">
      <c r="A59" s="31" t="n">
        <v>0.094</v>
      </c>
      <c r="B59" s="31" t="n">
        <v>0.336</v>
      </c>
    </row>
    <row r="60">
      <c r="A60" s="31" t="n">
        <v>0.096</v>
      </c>
      <c r="B60" s="31" t="n">
        <v>0.338</v>
      </c>
    </row>
    <row r="61">
      <c r="A61" s="31" t="n">
        <v>0.098</v>
      </c>
      <c r="B61" s="31" t="n">
        <v>0.341</v>
      </c>
    </row>
    <row r="62">
      <c r="A62" s="31" t="n">
        <v>0.1</v>
      </c>
      <c r="B62" s="31" t="n">
        <v>0.343</v>
      </c>
    </row>
    <row r="63">
      <c r="A63" s="31" t="n">
        <v>0.105</v>
      </c>
      <c r="B63" s="31" t="n">
        <v>0.349</v>
      </c>
    </row>
    <row r="64">
      <c r="A64" s="31" t="n">
        <v>0.11</v>
      </c>
      <c r="B64" s="31" t="n">
        <v>0.355</v>
      </c>
    </row>
    <row r="65">
      <c r="A65" s="31" t="n">
        <v>0.115</v>
      </c>
      <c r="B65" s="31" t="n">
        <v>0.361</v>
      </c>
    </row>
    <row r="66">
      <c r="A66" s="31" t="n">
        <v>0.12</v>
      </c>
      <c r="B66" s="31" t="n">
        <v>0.367</v>
      </c>
    </row>
    <row r="67">
      <c r="A67" s="31" t="n">
        <v>0.125</v>
      </c>
      <c r="B67" s="31" t="n">
        <v>0.373</v>
      </c>
    </row>
    <row r="68">
      <c r="A68" s="31" t="n">
        <v>0.13</v>
      </c>
      <c r="B68" s="31" t="n">
        <v>0.378</v>
      </c>
    </row>
    <row r="69">
      <c r="A69" s="31" t="n">
        <v>0.135</v>
      </c>
      <c r="B69" s="31" t="n">
        <v>0.384</v>
      </c>
    </row>
    <row r="70">
      <c r="A70" s="31" t="n">
        <v>0.14</v>
      </c>
      <c r="B70" s="31" t="n">
        <v>0.389</v>
      </c>
    </row>
    <row r="71">
      <c r="A71" s="31" t="n">
        <v>0.145</v>
      </c>
      <c r="B71" s="31" t="n">
        <v>0.394</v>
      </c>
    </row>
    <row r="72">
      <c r="A72" s="31" t="n">
        <v>0.15</v>
      </c>
      <c r="B72" s="31" t="n">
        <v>0.399</v>
      </c>
    </row>
    <row r="73">
      <c r="A73" s="31" t="n">
        <v>0.155</v>
      </c>
      <c r="B73" s="31" t="n">
        <v>0.405</v>
      </c>
    </row>
    <row r="74">
      <c r="A74" s="31" t="n">
        <v>0.16</v>
      </c>
      <c r="B74" s="31" t="n">
        <v>0.41</v>
      </c>
    </row>
    <row r="75">
      <c r="A75" s="31" t="n">
        <v>0.165</v>
      </c>
      <c r="B75" s="31" t="n">
        <v>0.415</v>
      </c>
    </row>
    <row r="76">
      <c r="A76" s="31" t="n">
        <v>0.17</v>
      </c>
      <c r="B76" s="31" t="n">
        <v>0.42</v>
      </c>
    </row>
    <row r="77">
      <c r="A77" s="31" t="n">
        <v>0.175</v>
      </c>
      <c r="B77" s="31" t="n">
        <v>0.425</v>
      </c>
    </row>
    <row r="78">
      <c r="A78" s="31" t="n">
        <v>0.18</v>
      </c>
      <c r="B78" s="31" t="n">
        <v>0.43</v>
      </c>
    </row>
    <row r="79">
      <c r="A79" s="31" t="n">
        <v>0.185</v>
      </c>
      <c r="B79" s="31" t="n">
        <v>0.435</v>
      </c>
    </row>
    <row r="80">
      <c r="A80" s="31" t="n">
        <v>0.19</v>
      </c>
      <c r="B80" s="31" t="n">
        <v>0.439</v>
      </c>
    </row>
    <row r="81">
      <c r="A81" s="31" t="n">
        <v>0.195</v>
      </c>
      <c r="B81" s="31" t="n">
        <v>0.444</v>
      </c>
    </row>
    <row r="82">
      <c r="A82" s="31" t="n">
        <v>0.2</v>
      </c>
      <c r="B82" s="31" t="n">
        <v>0.449</v>
      </c>
    </row>
    <row r="83">
      <c r="A83" s="31" t="n">
        <v>0.21</v>
      </c>
      <c r="B83" s="31" t="n">
        <v>0.458</v>
      </c>
    </row>
    <row r="84">
      <c r="A84" s="31" t="n">
        <v>0.22</v>
      </c>
      <c r="B84" s="31" t="n">
        <v>0.467</v>
      </c>
    </row>
    <row r="85">
      <c r="A85" s="31" t="n">
        <v>0.23</v>
      </c>
      <c r="B85" s="31" t="n">
        <v>0.476</v>
      </c>
    </row>
    <row r="86">
      <c r="A86" s="31" t="n">
        <v>0.24</v>
      </c>
      <c r="B86" s="31" t="n">
        <v>0.485</v>
      </c>
    </row>
    <row r="87">
      <c r="A87" s="31" t="n">
        <v>0.25</v>
      </c>
      <c r="B87" s="31" t="n">
        <v>0.493</v>
      </c>
    </row>
    <row r="88">
      <c r="A88" s="31" t="n">
        <v>0.26</v>
      </c>
      <c r="B88" s="31" t="n">
        <v>0.502</v>
      </c>
    </row>
    <row r="89">
      <c r="A89" s="31" t="n">
        <v>0.27</v>
      </c>
      <c r="B89" s="31" t="n">
        <v>0.51</v>
      </c>
    </row>
    <row r="90">
      <c r="A90" s="31" t="n">
        <v>0.28</v>
      </c>
      <c r="B90" s="31" t="n">
        <v>0.518</v>
      </c>
    </row>
    <row r="91">
      <c r="A91" s="31" t="n">
        <v>0.29</v>
      </c>
      <c r="B91" s="31" t="n">
        <v>0.526</v>
      </c>
    </row>
    <row r="92">
      <c r="A92" s="31" t="n">
        <v>0.3</v>
      </c>
      <c r="B92" s="31" t="n">
        <v>0.534</v>
      </c>
    </row>
    <row r="93">
      <c r="A93" s="31" t="n">
        <v>0.31</v>
      </c>
      <c r="B93" s="31" t="n">
        <v>0.542</v>
      </c>
    </row>
    <row r="94">
      <c r="A94" s="31" t="n">
        <v>0.32</v>
      </c>
      <c r="B94" s="31" t="n">
        <v>0.55</v>
      </c>
    </row>
    <row r="95">
      <c r="A95" s="31" t="n">
        <v>0.33</v>
      </c>
      <c r="B95" s="31" t="n">
        <v>0.5580000000000001</v>
      </c>
    </row>
    <row r="96">
      <c r="A96" s="31" t="n">
        <v>0.34</v>
      </c>
      <c r="B96" s="31" t="n">
        <v>0.5649999999999999</v>
      </c>
    </row>
    <row r="97">
      <c r="A97" s="31" t="n">
        <v>0.35</v>
      </c>
      <c r="B97" s="31" t="n">
        <v>0.573</v>
      </c>
    </row>
    <row r="98">
      <c r="A98" s="31" t="n">
        <v>0.36</v>
      </c>
      <c r="B98" s="31" t="n">
        <v>0.58</v>
      </c>
    </row>
    <row r="99">
      <c r="A99" s="31" t="n">
        <v>0.37</v>
      </c>
      <c r="B99" s="31" t="n">
        <v>0.588</v>
      </c>
    </row>
    <row r="100">
      <c r="A100" s="31" t="n">
        <v>0.38</v>
      </c>
      <c r="B100" s="31" t="n">
        <v>0.595</v>
      </c>
    </row>
    <row r="101">
      <c r="A101" s="31" t="n">
        <v>0.39</v>
      </c>
      <c r="B101" s="31" t="n">
        <v>0.602</v>
      </c>
    </row>
    <row r="102">
      <c r="A102" s="31" t="n">
        <v>0.4</v>
      </c>
      <c r="B102" s="31" t="n">
        <v>0.61</v>
      </c>
    </row>
    <row r="103">
      <c r="A103" s="31" t="n">
        <v>0.41</v>
      </c>
      <c r="B103" s="31" t="n">
        <v>0.617</v>
      </c>
    </row>
    <row r="104">
      <c r="A104" s="31" t="n">
        <v>0.42</v>
      </c>
      <c r="B104" s="31" t="n">
        <v>0.624</v>
      </c>
    </row>
    <row r="105">
      <c r="A105" s="31" t="n">
        <v>0.43</v>
      </c>
      <c r="B105" s="31" t="n">
        <v>0.631</v>
      </c>
    </row>
    <row r="106">
      <c r="A106" s="31" t="n">
        <v>0.44</v>
      </c>
      <c r="B106" s="31" t="n">
        <v>0.638</v>
      </c>
    </row>
    <row r="107">
      <c r="A107" s="31" t="n">
        <v>0.45</v>
      </c>
      <c r="B107" s="31" t="n">
        <v>0.645</v>
      </c>
    </row>
    <row r="108">
      <c r="A108" s="31" t="n">
        <v>0.46</v>
      </c>
      <c r="B108" s="31" t="n">
        <v>0.652</v>
      </c>
    </row>
    <row r="109">
      <c r="A109" s="31" t="n">
        <v>0.47</v>
      </c>
      <c r="B109" s="31" t="n">
        <v>0.658</v>
      </c>
    </row>
    <row r="110">
      <c r="A110" s="31" t="n">
        <v>0.48</v>
      </c>
      <c r="B110" s="31" t="n">
        <v>0.665</v>
      </c>
    </row>
    <row r="111">
      <c r="A111" s="31" t="n">
        <v>0.49</v>
      </c>
      <c r="B111" s="31" t="n">
        <v>0.672</v>
      </c>
    </row>
    <row r="112">
      <c r="A112" s="31" t="n">
        <v>0.5</v>
      </c>
      <c r="B112" s="31" t="n">
        <v>0.678</v>
      </c>
    </row>
    <row r="113">
      <c r="A113" s="31" t="n">
        <v>0.52</v>
      </c>
      <c r="B113" s="31" t="n">
        <v>0.6919999999999999</v>
      </c>
    </row>
    <row r="114">
      <c r="A114" s="31" t="n">
        <v>0.54</v>
      </c>
      <c r="B114" s="31" t="n">
        <v>0.704</v>
      </c>
    </row>
    <row r="115">
      <c r="A115" s="31" t="n">
        <v>0.5600000000000001</v>
      </c>
      <c r="B115" s="31" t="n">
        <v>0.717</v>
      </c>
    </row>
    <row r="116">
      <c r="A116" s="31" t="n">
        <v>0.58</v>
      </c>
      <c r="B116" s="31" t="n">
        <v>0.73</v>
      </c>
    </row>
    <row r="117">
      <c r="A117" s="31" t="n">
        <v>0.6</v>
      </c>
      <c r="B117" s="31" t="n">
        <v>0.742</v>
      </c>
    </row>
    <row r="118">
      <c r="A118" s="31" t="n">
        <v>0.62</v>
      </c>
      <c r="B118" s="31" t="n">
        <v>0.755</v>
      </c>
    </row>
    <row r="119">
      <c r="A119" s="31" t="n">
        <v>0.64</v>
      </c>
      <c r="B119" s="31" t="n">
        <v>0.767</v>
      </c>
    </row>
    <row r="120">
      <c r="A120" s="31" t="n">
        <v>0.66</v>
      </c>
      <c r="B120" s="31" t="n">
        <v>0.779</v>
      </c>
    </row>
    <row r="121">
      <c r="A121" s="31" t="n">
        <v>0.68</v>
      </c>
      <c r="B121" s="31" t="n">
        <v>0.791</v>
      </c>
    </row>
    <row r="122">
      <c r="A122" s="31" t="n">
        <v>0.7</v>
      </c>
      <c r="B122" s="31" t="n">
        <v>0.803</v>
      </c>
    </row>
    <row r="123">
      <c r="A123" s="31" t="n">
        <v>0.72</v>
      </c>
      <c r="B123" s="31" t="n">
        <v>0.8149999999999999</v>
      </c>
    </row>
    <row r="124">
      <c r="A124" s="31" t="n">
        <v>0.74</v>
      </c>
      <c r="B124" s="31" t="n">
        <v>0.826</v>
      </c>
    </row>
    <row r="125">
      <c r="A125" s="31" t="n">
        <v>0.76</v>
      </c>
      <c r="B125" s="31" t="n">
        <v>0.838</v>
      </c>
    </row>
    <row r="126">
      <c r="A126" s="31" t="n">
        <v>0.78</v>
      </c>
      <c r="B126" s="31" t="n">
        <v>0.849</v>
      </c>
    </row>
    <row r="127">
      <c r="A127" s="31" t="n">
        <v>0.8</v>
      </c>
      <c r="B127" s="31" t="n">
        <v>0.86</v>
      </c>
    </row>
    <row r="128">
      <c r="A128" s="31" t="n">
        <v>0.82</v>
      </c>
      <c r="B128" s="31" t="n">
        <v>0.872</v>
      </c>
    </row>
    <row r="129">
      <c r="A129" s="31" t="n">
        <v>0.84</v>
      </c>
      <c r="B129" s="31" t="n">
        <v>0.883</v>
      </c>
    </row>
    <row r="130">
      <c r="A130" s="31" t="n">
        <v>0.86</v>
      </c>
      <c r="B130" s="31" t="n">
        <v>0.894</v>
      </c>
    </row>
    <row r="131">
      <c r="A131" s="31" t="n">
        <v>0.88</v>
      </c>
      <c r="B131" s="31" t="n">
        <v>0.905</v>
      </c>
    </row>
    <row r="132">
      <c r="A132" s="31" t="n">
        <v>0.9</v>
      </c>
      <c r="B132" s="31" t="n">
        <v>0.916</v>
      </c>
    </row>
    <row r="133">
      <c r="A133" s="31" t="n">
        <v>0.92</v>
      </c>
      <c r="B133" s="31" t="n">
        <v>0.927</v>
      </c>
    </row>
    <row r="134">
      <c r="A134" s="31" t="n">
        <v>0.9399999999999999</v>
      </c>
      <c r="B134" s="31" t="n">
        <v>0.9370000000000001</v>
      </c>
    </row>
    <row r="135">
      <c r="A135" s="31" t="n">
        <v>0.96</v>
      </c>
      <c r="B135" s="31" t="n">
        <v>0.948</v>
      </c>
    </row>
    <row r="136">
      <c r="A136" s="31" t="n">
        <v>0.98</v>
      </c>
      <c r="B136" s="31" t="n">
        <v>0.959</v>
      </c>
    </row>
    <row r="137">
      <c r="A137" s="31" t="n">
        <v>1</v>
      </c>
      <c r="B137" s="31" t="n">
        <v>0.969</v>
      </c>
    </row>
    <row r="138">
      <c r="A138" s="31" t="n">
        <v>1.05</v>
      </c>
      <c r="B138" s="31" t="n">
        <v>0.995</v>
      </c>
    </row>
    <row r="139">
      <c r="A139" s="31" t="n">
        <v>1.1</v>
      </c>
      <c r="B139" s="31" t="n">
        <v>1.021</v>
      </c>
    </row>
    <row r="140">
      <c r="A140" s="31" t="n">
        <v>1.15</v>
      </c>
      <c r="B140" s="31" t="n">
        <v>1.046</v>
      </c>
    </row>
    <row r="141">
      <c r="A141" s="31" t="n">
        <v>1.2</v>
      </c>
      <c r="B141" s="31" t="n">
        <v>1.071</v>
      </c>
    </row>
    <row r="142">
      <c r="A142" s="31" t="n">
        <v>1.25</v>
      </c>
      <c r="B142" s="31" t="n">
        <v>1.096</v>
      </c>
    </row>
    <row r="143">
      <c r="A143" s="31" t="n">
        <v>1.3</v>
      </c>
      <c r="B143" s="31" t="n">
        <v>1.12</v>
      </c>
    </row>
    <row r="144">
      <c r="A144" s="31" t="n">
        <v>1.35</v>
      </c>
      <c r="B144" s="31" t="n">
        <v>1.144</v>
      </c>
    </row>
    <row r="145">
      <c r="A145" s="31" t="n">
        <v>1.4</v>
      </c>
      <c r="B145" s="31" t="n">
        <v>1.168</v>
      </c>
    </row>
    <row r="146">
      <c r="A146" s="31" t="n">
        <v>1.45</v>
      </c>
      <c r="B146" s="31" t="n">
        <v>1.191</v>
      </c>
    </row>
    <row r="147">
      <c r="A147" s="31" t="n">
        <v>1.5</v>
      </c>
      <c r="B147" s="31" t="n">
        <v>1.215</v>
      </c>
    </row>
    <row r="148">
      <c r="A148" s="31" t="n">
        <v>1.55</v>
      </c>
      <c r="B148" s="31" t="n">
        <v>1.238</v>
      </c>
    </row>
    <row r="149">
      <c r="A149" s="31" t="n">
        <v>1.6</v>
      </c>
      <c r="B149" s="31" t="n">
        <v>1.261</v>
      </c>
    </row>
    <row r="150">
      <c r="A150" s="31" t="n">
        <v>1.65</v>
      </c>
      <c r="B150" s="31" t="n">
        <v>1.283</v>
      </c>
    </row>
    <row r="151">
      <c r="A151" s="31" t="n">
        <v>1.7</v>
      </c>
      <c r="B151" s="31" t="n">
        <v>1.306</v>
      </c>
    </row>
    <row r="152">
      <c r="A152" s="31" t="n">
        <v>1.75</v>
      </c>
      <c r="B152" s="31" t="n">
        <v>1.328</v>
      </c>
    </row>
    <row r="153">
      <c r="A153" s="31" t="n">
        <v>1.8</v>
      </c>
      <c r="B153" s="31" t="n">
        <v>1.35</v>
      </c>
    </row>
    <row r="154">
      <c r="A154" s="31" t="n">
        <v>1.85</v>
      </c>
      <c r="B154" s="31" t="n">
        <v>1.372</v>
      </c>
    </row>
    <row r="155">
      <c r="A155" s="31" t="n">
        <v>1.9</v>
      </c>
      <c r="B155" s="31" t="n">
        <v>1.394</v>
      </c>
    </row>
    <row r="156">
      <c r="A156" s="31" t="n">
        <v>1.95</v>
      </c>
      <c r="B156" s="31" t="n">
        <v>1.416</v>
      </c>
    </row>
    <row r="157">
      <c r="A157" s="31" t="n">
        <v>2</v>
      </c>
      <c r="B157" s="31" t="n">
        <v>1.437</v>
      </c>
    </row>
    <row r="158">
      <c r="A158" s="31" t="n">
        <v>2.1</v>
      </c>
      <c r="B158" s="31" t="n">
        <v>1.479</v>
      </c>
    </row>
    <row r="159">
      <c r="A159" s="31" t="n">
        <v>2.2</v>
      </c>
      <c r="B159" s="31" t="n">
        <v>1.521</v>
      </c>
    </row>
    <row r="160">
      <c r="A160" s="31" t="n">
        <v>2.3</v>
      </c>
      <c r="B160" s="31" t="n">
        <v>1.563</v>
      </c>
    </row>
    <row r="161">
      <c r="A161" s="31" t="n">
        <v>2.4</v>
      </c>
      <c r="B161" s="31" t="n">
        <v>1.604</v>
      </c>
    </row>
    <row r="162">
      <c r="A162" s="31" t="n">
        <v>2.5</v>
      </c>
      <c r="B162" s="31" t="n">
        <v>1.644</v>
      </c>
    </row>
    <row r="163">
      <c r="A163" s="31" t="n">
        <v>2.6</v>
      </c>
      <c r="B163" s="31" t="n">
        <v>1.684</v>
      </c>
    </row>
    <row r="164">
      <c r="A164" s="31" t="n">
        <v>2.7</v>
      </c>
      <c r="B164" s="31" t="n">
        <v>1.724</v>
      </c>
    </row>
    <row r="165">
      <c r="A165" s="31" t="n">
        <v>2.8</v>
      </c>
      <c r="B165" s="31" t="n">
        <v>1.763</v>
      </c>
    </row>
    <row r="166">
      <c r="A166" s="31" t="n">
        <v>2.9</v>
      </c>
      <c r="B166" s="31" t="n">
        <v>1.802</v>
      </c>
    </row>
    <row r="167">
      <c r="A167" s="31" t="n">
        <v>3</v>
      </c>
      <c r="B167" s="31" t="n">
        <v>1.84</v>
      </c>
    </row>
    <row r="168">
      <c r="A168" s="31" t="n">
        <v>3.1</v>
      </c>
      <c r="B168" s="31" t="n">
        <v>1.879</v>
      </c>
    </row>
    <row r="169">
      <c r="A169" s="31" t="n">
        <v>3.2</v>
      </c>
      <c r="B169" s="31" t="n">
        <v>1.917</v>
      </c>
    </row>
    <row r="170">
      <c r="A170" s="31" t="n">
        <v>3.3</v>
      </c>
      <c r="B170" s="31" t="n">
        <v>1.954</v>
      </c>
    </row>
    <row r="171">
      <c r="A171" s="31" t="n">
        <v>3.4</v>
      </c>
      <c r="B171" s="31" t="n">
        <v>1.991</v>
      </c>
    </row>
    <row r="172">
      <c r="A172" s="31" t="n">
        <v>3.5</v>
      </c>
      <c r="B172" s="31" t="n">
        <v>2.029</v>
      </c>
    </row>
    <row r="173">
      <c r="A173" s="31" t="n">
        <v>3.6</v>
      </c>
      <c r="B173" s="31" t="n">
        <v>2.065</v>
      </c>
    </row>
    <row r="174">
      <c r="A174" s="31" t="n">
        <v>3.7</v>
      </c>
      <c r="B174" s="31" t="n">
        <v>2.102</v>
      </c>
    </row>
    <row r="175">
      <c r="A175" s="31" t="n">
        <v>3.8</v>
      </c>
      <c r="B175" s="31" t="n">
        <v>2.138</v>
      </c>
    </row>
    <row r="176">
      <c r="A176" s="31" t="n">
        <v>3.9</v>
      </c>
      <c r="B176" s="31" t="n">
        <v>2.174</v>
      </c>
    </row>
    <row r="177">
      <c r="A177" s="31" t="n">
        <v>4</v>
      </c>
      <c r="B177" s="31" t="n">
        <v>2.21</v>
      </c>
    </row>
    <row r="178">
      <c r="A178" s="31" t="n">
        <v>4.1</v>
      </c>
      <c r="B178" s="31" t="n">
        <v>2.246</v>
      </c>
    </row>
    <row r="179">
      <c r="A179" s="31" t="n">
        <v>4.2</v>
      </c>
      <c r="B179" s="31" t="n">
        <v>2.281</v>
      </c>
    </row>
    <row r="180">
      <c r="A180" s="31" t="n">
        <v>4.3</v>
      </c>
      <c r="B180" s="31" t="n">
        <v>2.317</v>
      </c>
    </row>
    <row r="181">
      <c r="A181" s="31" t="n">
        <v>4.4</v>
      </c>
      <c r="B181" s="31" t="n">
        <v>2.352</v>
      </c>
    </row>
    <row r="182">
      <c r="A182" s="31" t="n">
        <v>4.5</v>
      </c>
      <c r="B182" s="31" t="n">
        <v>2.386</v>
      </c>
    </row>
    <row r="183">
      <c r="A183" s="31" t="n">
        <v>4.6</v>
      </c>
      <c r="B183" s="31" t="n">
        <v>2.421</v>
      </c>
    </row>
    <row r="184">
      <c r="A184" s="31" t="n">
        <v>4.7</v>
      </c>
      <c r="B184" s="31" t="n">
        <v>2.456</v>
      </c>
    </row>
    <row r="185">
      <c r="A185" s="31" t="n">
        <v>4.8</v>
      </c>
      <c r="B185" s="31" t="n">
        <v>2.49</v>
      </c>
    </row>
    <row r="186">
      <c r="A186" s="31" t="n">
        <v>4.9</v>
      </c>
      <c r="B186" s="31" t="n">
        <v>2.524</v>
      </c>
    </row>
    <row r="187">
      <c r="A187" s="31" t="n">
        <v>5</v>
      </c>
      <c r="B187" s="31" t="n">
        <v>2.558</v>
      </c>
    </row>
    <row r="188">
      <c r="A188" s="31" t="n">
        <v>5.1</v>
      </c>
      <c r="B188" s="31" t="n">
        <v>2.592</v>
      </c>
    </row>
    <row r="189">
      <c r="A189" s="31" t="n">
        <v>5.2</v>
      </c>
      <c r="B189" s="31" t="n">
        <v>2.626</v>
      </c>
    </row>
    <row r="190">
      <c r="A190" s="31" t="n">
        <v>5.3</v>
      </c>
      <c r="B190" s="31" t="n">
        <v>2.66</v>
      </c>
    </row>
    <row r="191">
      <c r="A191" s="31" t="n">
        <v>5.4</v>
      </c>
      <c r="B191" s="31" t="n">
        <v>2.693</v>
      </c>
    </row>
    <row r="192">
      <c r="A192" s="31" t="n">
        <v>5.5</v>
      </c>
      <c r="B192" s="31" t="n">
        <v>2.726</v>
      </c>
    </row>
    <row r="193">
      <c r="A193" s="31" t="n">
        <v>5.6</v>
      </c>
      <c r="B193" s="31" t="n">
        <v>2.76</v>
      </c>
    </row>
    <row r="194">
      <c r="A194" s="31" t="n">
        <v>5.7</v>
      </c>
      <c r="B194" s="31" t="n">
        <v>2.793</v>
      </c>
    </row>
    <row r="195">
      <c r="A195" s="31" t="n">
        <v>5.8</v>
      </c>
      <c r="B195" s="31" t="n">
        <v>2.826</v>
      </c>
    </row>
    <row r="196">
      <c r="A196" s="31" t="n">
        <v>5.9</v>
      </c>
      <c r="B196" s="31" t="n">
        <v>2.858</v>
      </c>
    </row>
    <row r="197">
      <c r="A197" s="31" t="n">
        <v>6</v>
      </c>
      <c r="B197" s="31" t="n">
        <v>2.891</v>
      </c>
    </row>
    <row r="198">
      <c r="A198" s="31" t="n">
        <v>6.1</v>
      </c>
      <c r="B198" s="31" t="n">
        <v>2.924</v>
      </c>
    </row>
    <row r="199">
      <c r="A199" s="31" t="n">
        <v>6.2</v>
      </c>
      <c r="B199" s="31" t="n">
        <v>2.956</v>
      </c>
    </row>
    <row r="200">
      <c r="A200" s="31" t="n">
        <v>6.3</v>
      </c>
      <c r="B200" s="31" t="n">
        <v>2.989</v>
      </c>
    </row>
    <row r="201">
      <c r="A201" s="31" t="n">
        <v>6.4</v>
      </c>
      <c r="B201" s="31" t="n">
        <v>3.021</v>
      </c>
    </row>
    <row r="202">
      <c r="A202" s="31" t="n">
        <v>6.5</v>
      </c>
      <c r="B202" s="31" t="n">
        <v>3.053</v>
      </c>
    </row>
    <row r="203">
      <c r="A203" s="31" t="n">
        <v>6.6</v>
      </c>
      <c r="B203" s="31" t="n">
        <v>3.085</v>
      </c>
    </row>
    <row r="204">
      <c r="A204" s="31" t="n">
        <v>6.7</v>
      </c>
      <c r="B204" s="31" t="n">
        <v>3.117</v>
      </c>
    </row>
    <row r="205">
      <c r="A205" s="31" t="n">
        <v>6.8</v>
      </c>
      <c r="B205" s="31" t="n">
        <v>3.149</v>
      </c>
    </row>
    <row r="206">
      <c r="A206" s="31" t="n">
        <v>6.9</v>
      </c>
      <c r="B206" s="31" t="n">
        <v>3.181</v>
      </c>
    </row>
    <row r="207">
      <c r="A207" s="31" t="n">
        <v>7</v>
      </c>
      <c r="B207" s="31" t="n">
        <v>3.212</v>
      </c>
    </row>
    <row r="208">
      <c r="A208" s="31" t="n">
        <v>7.1</v>
      </c>
      <c r="B208" s="31" t="n">
        <v>3.244</v>
      </c>
    </row>
    <row r="209">
      <c r="A209" s="31" t="n">
        <v>7.2</v>
      </c>
      <c r="B209" s="31" t="n">
        <v>3.275</v>
      </c>
    </row>
    <row r="210">
      <c r="A210" s="31" t="n">
        <v>7.3</v>
      </c>
      <c r="B210" s="31" t="n">
        <v>3.307</v>
      </c>
    </row>
    <row r="211">
      <c r="A211" s="31" t="n">
        <v>7.4</v>
      </c>
      <c r="B211" s="31" t="n">
        <v>3.338</v>
      </c>
    </row>
    <row r="212">
      <c r="A212" s="31" t="n">
        <v>7.5</v>
      </c>
      <c r="B212" s="31" t="n">
        <v>3.369</v>
      </c>
    </row>
    <row r="213">
      <c r="A213" s="31" t="n">
        <v>7.6</v>
      </c>
      <c r="B213" s="31" t="n">
        <v>3.4</v>
      </c>
    </row>
    <row r="214">
      <c r="A214" s="31" t="n">
        <v>7.7</v>
      </c>
      <c r="B214" s="31" t="n">
        <v>3.431</v>
      </c>
    </row>
    <row r="215">
      <c r="A215" s="31" t="n">
        <v>7.8</v>
      </c>
      <c r="B215" s="31" t="n">
        <v>3.462</v>
      </c>
    </row>
    <row r="216">
      <c r="A216" s="31" t="n">
        <v>7.9</v>
      </c>
      <c r="B216" s="31" t="n">
        <v>3.493</v>
      </c>
    </row>
    <row r="217">
      <c r="A217" s="31" t="n">
        <v>8</v>
      </c>
      <c r="B217" s="31" t="n">
        <v>3.524</v>
      </c>
    </row>
    <row r="218">
      <c r="A218" s="31" t="n">
        <v>8.1</v>
      </c>
      <c r="B218" s="31" t="n">
        <v>3.555</v>
      </c>
    </row>
    <row r="219">
      <c r="A219" s="31" t="n">
        <v>8.199999999999999</v>
      </c>
      <c r="B219" s="31" t="n">
        <v>3.585</v>
      </c>
    </row>
    <row r="220">
      <c r="A220" s="31" t="n">
        <v>8.300000000000001</v>
      </c>
      <c r="B220" s="31" t="n">
        <v>3.616</v>
      </c>
    </row>
    <row r="221">
      <c r="A221" s="31" t="n">
        <v>8.4</v>
      </c>
      <c r="B221" s="31" t="n">
        <v>3.646</v>
      </c>
    </row>
    <row r="222">
      <c r="A222" s="31" t="n">
        <v>8.5</v>
      </c>
      <c r="B222" s="31" t="n">
        <v>3.677</v>
      </c>
    </row>
    <row r="223">
      <c r="A223" s="31" t="n">
        <v>8.6</v>
      </c>
      <c r="B223" s="31" t="n">
        <v>3.707</v>
      </c>
    </row>
    <row r="224">
      <c r="A224" s="31" t="n">
        <v>8.699999999999999</v>
      </c>
      <c r="B224" s="31" t="n">
        <v>3.738</v>
      </c>
    </row>
    <row r="225">
      <c r="A225" s="31" t="n">
        <v>8.800000000000001</v>
      </c>
      <c r="B225" s="31" t="n">
        <v>3.768</v>
      </c>
    </row>
    <row r="226">
      <c r="A226" s="31" t="n">
        <v>8.9</v>
      </c>
      <c r="B226" s="31" t="n">
        <v>3.798</v>
      </c>
    </row>
    <row r="227">
      <c r="A227" s="31" t="n">
        <v>9</v>
      </c>
      <c r="B227" s="31" t="n">
        <v>3.828</v>
      </c>
    </row>
    <row r="228">
      <c r="A228" s="31" t="n">
        <v>9.1</v>
      </c>
      <c r="B228" s="31" t="n">
        <v>3.858</v>
      </c>
    </row>
    <row r="229">
      <c r="A229" s="31" t="n">
        <v>9.199999999999999</v>
      </c>
      <c r="B229" s="31" t="n">
        <v>3.888</v>
      </c>
    </row>
    <row r="230">
      <c r="A230" s="31" t="n">
        <v>9.300000000000001</v>
      </c>
      <c r="B230" s="31" t="n">
        <v>3.918</v>
      </c>
    </row>
    <row r="231">
      <c r="A231" s="31" t="n">
        <v>9.4</v>
      </c>
      <c r="B231" s="31" t="n">
        <v>3.948</v>
      </c>
    </row>
    <row r="232">
      <c r="A232" s="31" t="n">
        <v>9.5</v>
      </c>
      <c r="B232" s="31" t="n">
        <v>3.978</v>
      </c>
    </row>
    <row r="233">
      <c r="A233" s="31" t="n">
        <v>9.6</v>
      </c>
      <c r="B233" s="31" t="n">
        <v>4.008</v>
      </c>
    </row>
    <row r="234">
      <c r="A234" s="31" t="n">
        <v>9.699999999999999</v>
      </c>
      <c r="B234" s="31" t="n">
        <v>4.037</v>
      </c>
    </row>
    <row r="235">
      <c r="A235" s="31" t="n">
        <v>9.800000000000001</v>
      </c>
      <c r="B235" s="31" t="n">
        <v>4.067</v>
      </c>
    </row>
    <row r="236">
      <c r="A236" s="31" t="n">
        <v>9.9</v>
      </c>
      <c r="B236" s="31" t="n">
        <v>4.097</v>
      </c>
    </row>
    <row r="237">
      <c r="A237" s="31" t="n">
        <v>10</v>
      </c>
      <c r="B237" s="31" t="n">
        <v>4.126</v>
      </c>
    </row>
    <row r="238">
      <c r="A238" s="31" t="n">
        <v>10.2</v>
      </c>
      <c r="B238" s="31" t="n">
        <v>4.185</v>
      </c>
    </row>
    <row r="239">
      <c r="A239" s="31" t="n">
        <v>10.4</v>
      </c>
      <c r="B239" s="31" t="n">
        <v>4.244</v>
      </c>
    </row>
    <row r="240">
      <c r="A240" s="31" t="n">
        <v>10.6</v>
      </c>
      <c r="B240" s="31" t="n">
        <v>4.302</v>
      </c>
    </row>
    <row r="241">
      <c r="A241" s="31" t="n">
        <v>10.8</v>
      </c>
      <c r="B241" s="31" t="n">
        <v>4.361</v>
      </c>
    </row>
    <row r="242">
      <c r="A242" s="31" t="n">
        <v>11</v>
      </c>
      <c r="B242" s="31" t="n">
        <v>4.419</v>
      </c>
    </row>
    <row r="243">
      <c r="A243" s="31" t="n">
        <v>11.2</v>
      </c>
      <c r="B243" s="31" t="n">
        <v>4.477</v>
      </c>
    </row>
    <row r="244">
      <c r="A244" s="31" t="n">
        <v>11.4</v>
      </c>
      <c r="B244" s="31" t="n">
        <v>4.534</v>
      </c>
    </row>
    <row r="245">
      <c r="A245" s="31" t="n">
        <v>11.6</v>
      </c>
      <c r="B245" s="31" t="n">
        <v>4.592</v>
      </c>
    </row>
    <row r="246">
      <c r="A246" s="31" t="n">
        <v>11.8</v>
      </c>
      <c r="B246" s="31" t="n">
        <v>4.649</v>
      </c>
    </row>
    <row r="247">
      <c r="A247" s="31" t="n">
        <v>12</v>
      </c>
      <c r="B247" s="31" t="n">
        <v>4.707</v>
      </c>
    </row>
    <row r="248">
      <c r="A248" s="31" t="n">
        <v>12.2</v>
      </c>
      <c r="B248" s="31" t="n">
        <v>4.764</v>
      </c>
    </row>
    <row r="249">
      <c r="A249" s="31" t="n">
        <v>12.4</v>
      </c>
      <c r="B249" s="31" t="n">
        <v>4.82</v>
      </c>
    </row>
    <row r="250">
      <c r="A250" s="31" t="n">
        <v>12.6</v>
      </c>
      <c r="B250" s="31" t="n">
        <v>4.877</v>
      </c>
    </row>
    <row r="251">
      <c r="A251" s="31" t="n">
        <v>12.8</v>
      </c>
      <c r="B251" s="31" t="n">
        <v>4.934</v>
      </c>
    </row>
    <row r="252">
      <c r="A252" s="31" t="n">
        <v>13</v>
      </c>
      <c r="B252" s="31" t="n">
        <v>4.99</v>
      </c>
    </row>
    <row r="253">
      <c r="A253" s="31" t="n">
        <v>13.2</v>
      </c>
      <c r="B253" s="31" t="n">
        <v>5.047</v>
      </c>
    </row>
    <row r="254">
      <c r="A254" s="31" t="n">
        <v>13.4</v>
      </c>
      <c r="B254" s="31" t="n">
        <v>5.103</v>
      </c>
    </row>
    <row r="255">
      <c r="A255" s="31" t="n">
        <v>13.6</v>
      </c>
      <c r="B255" s="31" t="n">
        <v>5.159</v>
      </c>
    </row>
    <row r="256">
      <c r="A256" s="31" t="n">
        <v>13.8</v>
      </c>
      <c r="B256" s="31" t="n">
        <v>5.215</v>
      </c>
    </row>
    <row r="257">
      <c r="A257" s="31" t="n">
        <v>14</v>
      </c>
      <c r="B257" s="31" t="n">
        <v>5.27</v>
      </c>
    </row>
    <row r="258">
      <c r="A258" s="31" t="n">
        <v>14.2</v>
      </c>
      <c r="B258" s="31" t="n">
        <v>5.326</v>
      </c>
    </row>
    <row r="259">
      <c r="A259" s="31" t="n">
        <v>14.4</v>
      </c>
      <c r="B259" s="31" t="n">
        <v>5.382</v>
      </c>
    </row>
    <row r="260">
      <c r="A260" s="31" t="n">
        <v>14.6</v>
      </c>
      <c r="B260" s="31" t="n">
        <v>5.437</v>
      </c>
    </row>
    <row r="261">
      <c r="A261" s="31" t="n">
        <v>14.8</v>
      </c>
      <c r="B261" s="31" t="n">
        <v>5.492</v>
      </c>
    </row>
    <row r="262">
      <c r="A262" s="31" t="n">
        <v>15</v>
      </c>
      <c r="B262" s="31" t="n">
        <v>5.547</v>
      </c>
    </row>
    <row r="263">
      <c r="A263" s="31" t="n">
        <v>15.2</v>
      </c>
      <c r="B263" s="31" t="n">
        <v>5.602</v>
      </c>
    </row>
    <row r="264">
      <c r="A264" s="31" t="n">
        <v>15.4</v>
      </c>
      <c r="B264" s="31" t="n">
        <v>5.657</v>
      </c>
    </row>
    <row r="265">
      <c r="A265" s="31" t="n">
        <v>15.6</v>
      </c>
      <c r="B265" s="31" t="n">
        <v>5.712</v>
      </c>
    </row>
    <row r="266">
      <c r="A266" s="31" t="n">
        <v>15.8</v>
      </c>
      <c r="B266" s="31" t="n">
        <v>5.767</v>
      </c>
    </row>
    <row r="267">
      <c r="A267" s="31" t="n">
        <v>16</v>
      </c>
      <c r="B267" s="31" t="n">
        <v>5.821</v>
      </c>
    </row>
    <row r="268">
      <c r="A268" s="31" t="n">
        <v>16.2</v>
      </c>
      <c r="B268" s="31" t="n">
        <v>5.876</v>
      </c>
    </row>
    <row r="269">
      <c r="A269" s="31" t="n">
        <v>16.4</v>
      </c>
      <c r="B269" s="31" t="n">
        <v>5.93</v>
      </c>
    </row>
    <row r="270">
      <c r="A270" s="31" t="n">
        <v>16.6</v>
      </c>
      <c r="B270" s="31" t="n">
        <v>5.984</v>
      </c>
    </row>
    <row r="271">
      <c r="A271" s="31" t="n">
        <v>16.8</v>
      </c>
      <c r="B271" s="31" t="n">
        <v>6.039</v>
      </c>
    </row>
    <row r="272">
      <c r="A272" s="31" t="n">
        <v>17</v>
      </c>
      <c r="B272" s="31" t="n">
        <v>6.093</v>
      </c>
    </row>
    <row r="273">
      <c r="A273" s="31" t="n">
        <v>17.2</v>
      </c>
      <c r="B273" s="31" t="n">
        <v>6.147</v>
      </c>
    </row>
    <row r="274">
      <c r="A274" s="31" t="n">
        <v>17.4</v>
      </c>
      <c r="B274" s="31" t="n">
        <v>6.201</v>
      </c>
    </row>
    <row r="275">
      <c r="A275" s="31" t="n">
        <v>17.6</v>
      </c>
      <c r="B275" s="31" t="n">
        <v>6.254</v>
      </c>
    </row>
    <row r="276">
      <c r="A276" s="31" t="n">
        <v>17.8</v>
      </c>
      <c r="B276" s="31" t="n">
        <v>6.308</v>
      </c>
    </row>
    <row r="277">
      <c r="A277" s="31" t="n">
        <v>18</v>
      </c>
      <c r="B277" s="31" t="n">
        <v>6.362</v>
      </c>
    </row>
    <row r="278">
      <c r="A278" s="31" t="n">
        <v>18.2</v>
      </c>
      <c r="B278" s="31" t="n">
        <v>6.415</v>
      </c>
    </row>
    <row r="279">
      <c r="A279" s="31" t="n">
        <v>18.4</v>
      </c>
      <c r="B279" s="31" t="n">
        <v>6.469</v>
      </c>
    </row>
    <row r="280">
      <c r="A280" s="31" t="n">
        <v>18.6</v>
      </c>
      <c r="B280" s="31" t="n">
        <v>6.522</v>
      </c>
    </row>
    <row r="281">
      <c r="A281" s="31" t="n">
        <v>18.8</v>
      </c>
      <c r="B281" s="31" t="n">
        <v>6.575</v>
      </c>
    </row>
    <row r="282">
      <c r="A282" s="31" t="n">
        <v>19</v>
      </c>
      <c r="B282" s="31" t="n">
        <v>6.629</v>
      </c>
    </row>
    <row r="283">
      <c r="A283" s="31" t="n">
        <v>19.2</v>
      </c>
      <c r="B283" s="31" t="n">
        <v>6.682</v>
      </c>
    </row>
    <row r="284">
      <c r="A284" s="31" t="n">
        <v>19.4</v>
      </c>
      <c r="B284" s="31" t="n">
        <v>6.734</v>
      </c>
    </row>
    <row r="285">
      <c r="A285" s="31" t="n">
        <v>19.6</v>
      </c>
      <c r="B285" s="31" t="n">
        <v>6.788</v>
      </c>
    </row>
    <row r="286">
      <c r="A286" s="31" t="n">
        <v>19.8</v>
      </c>
      <c r="B286" s="31" t="n">
        <v>6.84</v>
      </c>
    </row>
    <row r="287">
      <c r="A287" s="31" t="n">
        <v>20</v>
      </c>
      <c r="B287" s="31" t="n">
        <v>6.893</v>
      </c>
    </row>
    <row r="288">
      <c r="A288" s="31" t="n">
        <v>21</v>
      </c>
      <c r="B288" s="31" t="n">
        <v>7.156</v>
      </c>
    </row>
    <row r="289">
      <c r="A289" s="31" t="n">
        <v>21.5</v>
      </c>
      <c r="B289" s="31" t="n">
        <v>7.287</v>
      </c>
    </row>
    <row r="290">
      <c r="A290" s="31" t="n">
        <v>22</v>
      </c>
      <c r="B290" s="31" t="n">
        <v>7.417</v>
      </c>
    </row>
    <row r="291">
      <c r="A291" s="31" t="n">
        <v>22.5</v>
      </c>
      <c r="B291" s="31" t="n">
        <v>7.547</v>
      </c>
    </row>
    <row r="292">
      <c r="A292" s="31" t="n">
        <v>23</v>
      </c>
      <c r="B292" s="31" t="n">
        <v>7.677</v>
      </c>
    </row>
    <row r="293">
      <c r="A293" s="31" t="n">
        <v>23.5</v>
      </c>
      <c r="B293" s="31" t="n">
        <v>7.806</v>
      </c>
    </row>
    <row r="294">
      <c r="A294" s="31" t="n">
        <v>24</v>
      </c>
      <c r="B294" s="31" t="n">
        <v>7.935</v>
      </c>
    </row>
    <row r="295">
      <c r="A295" s="31" t="n">
        <v>24.5</v>
      </c>
      <c r="B295" s="31" t="n">
        <v>8.064</v>
      </c>
    </row>
    <row r="296">
      <c r="A296" s="31" t="n">
        <v>25</v>
      </c>
      <c r="B296" s="31" t="n">
        <v>8.192</v>
      </c>
    </row>
    <row r="297">
      <c r="A297" s="31" t="n">
        <v>25.5</v>
      </c>
      <c r="B297" s="31" t="n">
        <v>8.32</v>
      </c>
    </row>
    <row r="298">
      <c r="A298" s="31" t="n">
        <v>26</v>
      </c>
      <c r="B298" s="31" t="n">
        <v>8.446999999999999</v>
      </c>
    </row>
    <row r="299">
      <c r="A299" s="31" t="n">
        <v>26.5</v>
      </c>
      <c r="B299" s="31" t="n">
        <v>8.574999999999999</v>
      </c>
    </row>
    <row r="300">
      <c r="A300" s="31" t="n">
        <v>27</v>
      </c>
      <c r="B300" s="31" t="n">
        <v>8.701000000000001</v>
      </c>
    </row>
    <row r="301">
      <c r="A301" s="31" t="n">
        <v>27.5</v>
      </c>
      <c r="B301" s="31" t="n">
        <v>8.827999999999999</v>
      </c>
    </row>
    <row r="302">
      <c r="A302" s="31" t="n">
        <v>28</v>
      </c>
      <c r="B302" s="31" t="n">
        <v>8.955</v>
      </c>
    </row>
    <row r="303">
      <c r="A303" s="31" t="n">
        <v>28.5</v>
      </c>
      <c r="B303" s="31" t="n">
        <v>9.081</v>
      </c>
    </row>
    <row r="304">
      <c r="A304" s="31" t="n">
        <v>29</v>
      </c>
      <c r="B304" s="31" t="n">
        <v>9.207000000000001</v>
      </c>
    </row>
    <row r="305">
      <c r="A305" s="31" t="n">
        <v>29.5</v>
      </c>
      <c r="B305" s="31" t="n">
        <v>9.332000000000001</v>
      </c>
    </row>
    <row r="306">
      <c r="A306" s="31" t="n">
        <v>30</v>
      </c>
      <c r="B306" s="31" t="n">
        <v>9.457000000000001</v>
      </c>
    </row>
    <row r="307">
      <c r="A307" s="31" t="n">
        <v>30.5</v>
      </c>
      <c r="B307" s="31" t="n">
        <v>9.583</v>
      </c>
    </row>
    <row r="308">
      <c r="A308" s="31" t="n">
        <v>31</v>
      </c>
      <c r="B308" s="31" t="n">
        <v>9.707000000000001</v>
      </c>
    </row>
    <row r="309">
      <c r="A309" s="31" t="n">
        <v>31.5</v>
      </c>
      <c r="B309" s="31" t="n">
        <v>9.832000000000001</v>
      </c>
    </row>
    <row r="310">
      <c r="A310" s="31" t="n">
        <v>32</v>
      </c>
      <c r="B310" s="31" t="n">
        <v>9.957000000000001</v>
      </c>
    </row>
    <row r="311">
      <c r="A311" s="31" t="n">
        <v>32.5</v>
      </c>
      <c r="B311" s="31" t="n">
        <v>10.08</v>
      </c>
    </row>
    <row r="312">
      <c r="A312" s="31" t="n">
        <v>33</v>
      </c>
      <c r="B312" s="31" t="n">
        <v>10.2</v>
      </c>
    </row>
    <row r="313">
      <c r="A313" s="31" t="n">
        <v>33.5</v>
      </c>
      <c r="B313" s="31" t="n">
        <v>10.33</v>
      </c>
    </row>
    <row r="314">
      <c r="A314" s="31" t="n">
        <v>34</v>
      </c>
      <c r="B314" s="31" t="n">
        <v>10.45</v>
      </c>
    </row>
    <row r="315">
      <c r="A315" s="31" t="n">
        <v>34.5</v>
      </c>
      <c r="B315" s="31" t="n">
        <v>10.58</v>
      </c>
    </row>
    <row r="316">
      <c r="A316" s="31" t="n">
        <v>35</v>
      </c>
      <c r="B316" s="31" t="n">
        <v>10.7</v>
      </c>
    </row>
    <row r="317">
      <c r="A317" s="31" t="n">
        <v>35.5</v>
      </c>
      <c r="B317" s="31" t="n">
        <v>10.82</v>
      </c>
    </row>
    <row r="318">
      <c r="A318" s="31" t="n">
        <v>36</v>
      </c>
      <c r="B318" s="31" t="n">
        <v>10.94</v>
      </c>
    </row>
    <row r="319">
      <c r="A319" s="31" t="n">
        <v>36.5</v>
      </c>
      <c r="B319" s="31" t="n">
        <v>11.07</v>
      </c>
    </row>
    <row r="320">
      <c r="A320" s="31" t="n">
        <v>37.5</v>
      </c>
      <c r="B320" s="31" t="n">
        <v>11.31</v>
      </c>
    </row>
    <row r="321">
      <c r="A321" s="31" t="n">
        <v>38</v>
      </c>
      <c r="B321" s="31" t="n">
        <v>11.43</v>
      </c>
    </row>
    <row r="322">
      <c r="A322" s="31" t="n">
        <v>38.5</v>
      </c>
      <c r="B322" s="31" t="n">
        <v>11.56</v>
      </c>
    </row>
    <row r="323">
      <c r="A323" s="31" t="n">
        <v>39</v>
      </c>
      <c r="B323" s="31" t="n">
        <v>11.68</v>
      </c>
    </row>
    <row r="324">
      <c r="A324" s="31" t="n">
        <v>39.5</v>
      </c>
      <c r="B324" s="31" t="n">
        <v>11.8</v>
      </c>
    </row>
    <row r="325">
      <c r="A325" s="31" t="n">
        <v>40</v>
      </c>
      <c r="B325" s="31" t="n">
        <v>11.92</v>
      </c>
    </row>
    <row r="326">
      <c r="A326" s="31" t="n">
        <v>40.5</v>
      </c>
      <c r="B326" s="31" t="n">
        <v>12.04</v>
      </c>
    </row>
    <row r="327">
      <c r="A327" s="31" t="n">
        <v>41</v>
      </c>
      <c r="B327" s="31" t="n">
        <v>12.16</v>
      </c>
    </row>
    <row r="328">
      <c r="A328" s="31" t="n">
        <v>41.5</v>
      </c>
      <c r="B328" s="31" t="n">
        <v>12.28</v>
      </c>
    </row>
    <row r="329">
      <c r="A329" s="31" t="n">
        <v>42</v>
      </c>
      <c r="B329" s="31" t="n">
        <v>12.41</v>
      </c>
    </row>
    <row r="330">
      <c r="A330" s="31" t="n">
        <v>42.5</v>
      </c>
      <c r="B330" s="31" t="n">
        <v>12.53</v>
      </c>
    </row>
    <row r="331">
      <c r="A331" s="31" t="n">
        <v>43</v>
      </c>
      <c r="B331" s="31" t="n">
        <v>12.65</v>
      </c>
    </row>
    <row r="332">
      <c r="A332" s="31" t="n">
        <v>43.5</v>
      </c>
      <c r="B332" s="31" t="n">
        <v>12.77</v>
      </c>
    </row>
    <row r="333">
      <c r="A333" s="31" t="n">
        <v>44</v>
      </c>
      <c r="B333" s="31" t="n">
        <v>12.89</v>
      </c>
    </row>
    <row r="334">
      <c r="A334" s="31" t="n">
        <v>44.5</v>
      </c>
      <c r="B334" s="31" t="n">
        <v>13.01</v>
      </c>
    </row>
    <row r="335">
      <c r="A335" s="31" t="n">
        <v>45</v>
      </c>
      <c r="B335" s="31" t="n">
        <v>13.13</v>
      </c>
    </row>
    <row r="336">
      <c r="A336" s="31" t="n">
        <v>45.5</v>
      </c>
      <c r="B336" s="31" t="n">
        <v>13.25</v>
      </c>
    </row>
    <row r="337">
      <c r="A337" s="31" t="n">
        <v>46</v>
      </c>
      <c r="B337" s="31" t="n">
        <v>13.37</v>
      </c>
    </row>
    <row r="338">
      <c r="A338" s="31" t="n">
        <v>46.5</v>
      </c>
      <c r="B338" s="31" t="n">
        <v>13.49</v>
      </c>
    </row>
    <row r="339">
      <c r="A339" s="31" t="n">
        <v>47</v>
      </c>
      <c r="B339" s="31" t="n">
        <v>13.61</v>
      </c>
    </row>
    <row r="340">
      <c r="A340" s="31" t="n">
        <v>47.5</v>
      </c>
      <c r="B340" s="31" t="n">
        <v>13.73</v>
      </c>
    </row>
    <row r="341">
      <c r="A341" s="31" t="n">
        <v>48</v>
      </c>
      <c r="B341" s="31" t="n">
        <v>13.85</v>
      </c>
    </row>
    <row r="342">
      <c r="A342" s="31" t="n">
        <v>48.5</v>
      </c>
      <c r="B342" s="31" t="n">
        <v>13.97</v>
      </c>
    </row>
    <row r="343">
      <c r="A343" s="31" t="n">
        <v>49</v>
      </c>
      <c r="B343" s="31" t="n">
        <v>14.09</v>
      </c>
    </row>
    <row r="344">
      <c r="A344" s="31" t="n">
        <v>49.5</v>
      </c>
      <c r="B344" s="31" t="n">
        <v>14.2</v>
      </c>
    </row>
    <row r="345">
      <c r="A345" s="31" t="n">
        <v>50</v>
      </c>
      <c r="B345" s="31" t="n">
        <v>14.32</v>
      </c>
    </row>
    <row r="346">
      <c r="A346" s="31" t="n">
        <v>51</v>
      </c>
      <c r="B346" s="31" t="n">
        <v>14.56</v>
      </c>
    </row>
    <row r="347">
      <c r="A347" s="31" t="n">
        <v>52</v>
      </c>
      <c r="B347" s="31" t="n">
        <v>14.8</v>
      </c>
    </row>
    <row r="348">
      <c r="A348" s="31" t="n">
        <v>53</v>
      </c>
      <c r="B348" s="31" t="n">
        <v>15.04</v>
      </c>
    </row>
    <row r="349">
      <c r="A349" s="31" t="n">
        <v>54</v>
      </c>
      <c r="B349" s="31" t="n">
        <v>15.27</v>
      </c>
    </row>
    <row r="350">
      <c r="A350" s="31" t="n">
        <v>55</v>
      </c>
      <c r="B350" s="31" t="n">
        <v>15.51</v>
      </c>
    </row>
    <row r="351">
      <c r="A351" s="31" t="n">
        <v>56</v>
      </c>
      <c r="B351" s="31" t="n">
        <v>15.74</v>
      </c>
    </row>
    <row r="352">
      <c r="A352" s="31" t="n">
        <v>57</v>
      </c>
      <c r="B352" s="31" t="n">
        <v>15.98</v>
      </c>
    </row>
    <row r="353">
      <c r="A353" s="31" t="n">
        <v>58</v>
      </c>
      <c r="B353" s="31" t="n">
        <v>16.22</v>
      </c>
    </row>
    <row r="354">
      <c r="A354" s="31" t="n">
        <v>59</v>
      </c>
      <c r="B354" s="31" t="n">
        <v>16.45</v>
      </c>
    </row>
    <row r="355">
      <c r="A355" s="31" t="n">
        <v>60</v>
      </c>
      <c r="B355" s="31" t="n">
        <v>16.69</v>
      </c>
    </row>
    <row r="356">
      <c r="A356" s="31" t="n">
        <v>61</v>
      </c>
      <c r="B356" s="31" t="n">
        <v>16.92</v>
      </c>
    </row>
    <row r="357">
      <c r="A357" s="31" t="n">
        <v>62</v>
      </c>
      <c r="B357" s="31" t="n">
        <v>17.15</v>
      </c>
    </row>
    <row r="358">
      <c r="A358" s="31" t="n">
        <v>63</v>
      </c>
      <c r="B358" s="31" t="n">
        <v>17.39</v>
      </c>
    </row>
    <row r="359">
      <c r="A359" s="31" t="n">
        <v>64</v>
      </c>
      <c r="B359" s="31" t="n">
        <v>17.62</v>
      </c>
    </row>
    <row r="360">
      <c r="A360" s="31" t="n">
        <v>65</v>
      </c>
      <c r="B360" s="31" t="n">
        <v>17.85</v>
      </c>
    </row>
    <row r="361">
      <c r="A361" s="31" t="n">
        <v>66</v>
      </c>
      <c r="B361" s="31" t="n">
        <v>18.09</v>
      </c>
    </row>
    <row r="362">
      <c r="A362" s="31" t="n">
        <v>67</v>
      </c>
      <c r="B362" s="31" t="n">
        <v>18.32</v>
      </c>
    </row>
    <row r="363">
      <c r="A363" s="31" t="n">
        <v>68</v>
      </c>
      <c r="B363" s="31" t="n">
        <v>18.55</v>
      </c>
    </row>
    <row r="364">
      <c r="A364" s="31" t="n">
        <v>69</v>
      </c>
      <c r="B364" s="31" t="n">
        <v>18.79</v>
      </c>
    </row>
    <row r="365">
      <c r="A365" s="31" t="n">
        <v>70</v>
      </c>
      <c r="B365" s="31" t="n">
        <v>19.02</v>
      </c>
    </row>
    <row r="366">
      <c r="A366" s="31" t="n">
        <v>71</v>
      </c>
      <c r="B366" s="31" t="n">
        <v>19.25</v>
      </c>
    </row>
    <row r="367">
      <c r="A367" s="31" t="n">
        <v>72</v>
      </c>
      <c r="B367" s="31" t="n">
        <v>19.48</v>
      </c>
    </row>
    <row r="368">
      <c r="A368" s="31" t="n">
        <v>73</v>
      </c>
      <c r="B368" s="31" t="n">
        <v>19.71</v>
      </c>
    </row>
    <row r="369">
      <c r="A369" s="31" t="n">
        <v>74</v>
      </c>
      <c r="B369" s="31" t="n">
        <v>19.94</v>
      </c>
    </row>
    <row r="370">
      <c r="A370" s="31" t="n">
        <v>75</v>
      </c>
      <c r="B370" s="31" t="n">
        <v>20.18</v>
      </c>
    </row>
    <row r="371">
      <c r="A371" s="31" t="n">
        <v>76</v>
      </c>
      <c r="B371" s="31" t="n">
        <v>20.41</v>
      </c>
    </row>
    <row r="372">
      <c r="A372" s="31" t="n">
        <v>77</v>
      </c>
      <c r="B372" s="31" t="n">
        <v>20.64</v>
      </c>
    </row>
    <row r="373">
      <c r="A373" s="31" t="n">
        <v>78</v>
      </c>
      <c r="B373" s="31" t="n">
        <v>20.87</v>
      </c>
    </row>
    <row r="374">
      <c r="A374" s="31" t="n">
        <v>79</v>
      </c>
      <c r="B374" s="31" t="n">
        <v>21.1</v>
      </c>
    </row>
    <row r="375">
      <c r="A375" s="31" t="n">
        <v>80</v>
      </c>
      <c r="B375" s="31" t="n">
        <v>21.33</v>
      </c>
    </row>
    <row r="376">
      <c r="A376" s="31" t="n">
        <v>81</v>
      </c>
      <c r="B376" s="31" t="n">
        <v>21.56</v>
      </c>
    </row>
    <row r="377">
      <c r="A377" s="31" t="n">
        <v>82</v>
      </c>
      <c r="B377" s="31" t="n">
        <v>21.69</v>
      </c>
    </row>
    <row r="378">
      <c r="A378" s="31" t="n">
        <v>83</v>
      </c>
      <c r="B378" s="31" t="n">
        <v>22.02</v>
      </c>
    </row>
    <row r="379">
      <c r="A379" s="31" t="n">
        <v>85</v>
      </c>
      <c r="B379" s="31" t="n">
        <v>22.48</v>
      </c>
    </row>
    <row r="380">
      <c r="A380" s="31" t="n">
        <v>86</v>
      </c>
      <c r="B380" s="31" t="n">
        <v>22.71</v>
      </c>
    </row>
    <row r="381">
      <c r="A381" s="31" t="n">
        <v>87</v>
      </c>
      <c r="B381" s="31" t="n">
        <v>22.94</v>
      </c>
    </row>
    <row r="382">
      <c r="A382" s="31" t="n">
        <v>88</v>
      </c>
      <c r="B382" s="31" t="n">
        <v>23.17</v>
      </c>
    </row>
    <row r="383">
      <c r="A383" s="31" t="n">
        <v>89</v>
      </c>
      <c r="B383" s="31" t="n">
        <v>23.39</v>
      </c>
    </row>
    <row r="384">
      <c r="A384" s="31" t="n">
        <v>90</v>
      </c>
      <c r="B384" s="31" t="n">
        <v>23.62</v>
      </c>
    </row>
    <row r="385">
      <c r="A385" s="31" t="n">
        <v>91</v>
      </c>
      <c r="B385" s="31" t="n">
        <v>23.85</v>
      </c>
    </row>
    <row r="386">
      <c r="A386" s="31" t="n">
        <v>92</v>
      </c>
      <c r="B386" s="31" t="n">
        <v>24.08</v>
      </c>
    </row>
    <row r="387">
      <c r="A387" s="31" t="n">
        <v>93</v>
      </c>
      <c r="B387" s="31" t="n">
        <v>24.31</v>
      </c>
    </row>
    <row r="388">
      <c r="A388" s="31" t="n">
        <v>94</v>
      </c>
      <c r="B388" s="31" t="n">
        <v>24.54</v>
      </c>
    </row>
    <row r="389">
      <c r="A389" s="31" t="n">
        <v>95</v>
      </c>
      <c r="B389" s="31" t="n">
        <v>24.77</v>
      </c>
    </row>
    <row r="390">
      <c r="A390" s="31" t="n">
        <v>96</v>
      </c>
      <c r="B390" s="31" t="n">
        <v>24.99</v>
      </c>
    </row>
    <row r="391">
      <c r="A391" s="31" t="n">
        <v>97</v>
      </c>
      <c r="B391" s="31" t="n">
        <v>25.22</v>
      </c>
    </row>
    <row r="392">
      <c r="A392" s="31" t="n">
        <v>98</v>
      </c>
      <c r="B392" s="31" t="n">
        <v>25.45</v>
      </c>
    </row>
    <row r="393">
      <c r="A393" s="31" t="n">
        <v>99</v>
      </c>
      <c r="B393" s="31" t="n">
        <v>25.68</v>
      </c>
    </row>
    <row r="394">
      <c r="A394" s="31" t="n">
        <v>100</v>
      </c>
      <c r="B394" s="31" t="n">
        <v>25.91</v>
      </c>
    </row>
    <row r="395">
      <c r="A395" s="31" t="n">
        <v>102</v>
      </c>
      <c r="B395" s="31" t="n">
        <v>26.36</v>
      </c>
    </row>
    <row r="396">
      <c r="A396" s="31" t="n">
        <v>104</v>
      </c>
      <c r="B396" s="31" t="n">
        <v>26.82</v>
      </c>
    </row>
    <row r="397">
      <c r="A397" s="31" t="n">
        <v>106</v>
      </c>
      <c r="B397" s="31" t="n">
        <v>27.27</v>
      </c>
    </row>
    <row r="398">
      <c r="A398" s="31" t="n">
        <v>108</v>
      </c>
      <c r="B398" s="31" t="n">
        <v>27.72</v>
      </c>
    </row>
    <row r="399">
      <c r="A399" s="31" t="n">
        <v>110</v>
      </c>
      <c r="B399" s="31" t="n">
        <v>28.18</v>
      </c>
    </row>
    <row r="400">
      <c r="A400" s="31" t="n">
        <v>112</v>
      </c>
      <c r="B400" s="31" t="n">
        <v>28.63</v>
      </c>
    </row>
    <row r="401">
      <c r="A401" s="31" t="n">
        <v>114</v>
      </c>
      <c r="B401" s="31" t="n">
        <v>29.09</v>
      </c>
    </row>
    <row r="402">
      <c r="A402" s="31" t="n">
        <v>116</v>
      </c>
      <c r="B402" s="31" t="n">
        <v>29.54</v>
      </c>
    </row>
    <row r="403">
      <c r="A403" s="31" t="n">
        <v>118</v>
      </c>
      <c r="B403" s="31" t="n">
        <v>29.89</v>
      </c>
    </row>
    <row r="404">
      <c r="A404" s="31" t="n">
        <v>120</v>
      </c>
      <c r="B404" s="31" t="n">
        <v>30.44</v>
      </c>
    </row>
    <row r="405">
      <c r="A405" s="31" t="n">
        <v>122</v>
      </c>
      <c r="B405" s="31" t="n">
        <v>30.9</v>
      </c>
    </row>
    <row r="406">
      <c r="A406" s="31" t="n">
        <v>124</v>
      </c>
      <c r="B406" s="31" t="n">
        <v>31.35</v>
      </c>
    </row>
    <row r="407">
      <c r="A407" s="31" t="n">
        <v>126</v>
      </c>
      <c r="B407" s="31" t="n">
        <v>31.8</v>
      </c>
    </row>
    <row r="408">
      <c r="A408" s="31" t="n">
        <v>128</v>
      </c>
      <c r="B408" s="31" t="n">
        <v>32.25</v>
      </c>
    </row>
    <row r="409">
      <c r="A409" s="31" t="n">
        <v>130</v>
      </c>
      <c r="B409" s="31" t="n">
        <v>32.7</v>
      </c>
    </row>
    <row r="410">
      <c r="A410" s="31" t="n">
        <v>132</v>
      </c>
      <c r="B410" s="31" t="n">
        <v>33.15</v>
      </c>
    </row>
    <row r="411">
      <c r="A411" s="31" t="n">
        <v>134</v>
      </c>
      <c r="B411" s="31" t="n">
        <v>33.6</v>
      </c>
    </row>
    <row r="412">
      <c r="A412" s="31" t="n">
        <v>136</v>
      </c>
      <c r="B412" s="31" t="n">
        <v>34.06</v>
      </c>
    </row>
    <row r="413">
      <c r="A413" s="31" t="n">
        <v>138</v>
      </c>
      <c r="B413" s="31" t="n">
        <v>34.51</v>
      </c>
    </row>
    <row r="414">
      <c r="A414" s="31" t="n">
        <v>140</v>
      </c>
      <c r="B414" s="31" t="n">
        <v>34.96</v>
      </c>
    </row>
    <row r="415">
      <c r="A415" s="31" t="n">
        <v>142</v>
      </c>
      <c r="B415" s="31" t="n">
        <v>35.41</v>
      </c>
    </row>
    <row r="416">
      <c r="A416" s="31" t="n">
        <v>144</v>
      </c>
      <c r="B416" s="31" t="n">
        <v>35.86</v>
      </c>
    </row>
    <row r="417">
      <c r="A417" s="31" t="n">
        <v>146</v>
      </c>
      <c r="B417" s="31" t="n">
        <v>36.31</v>
      </c>
    </row>
    <row r="418">
      <c r="A418" s="31" t="n">
        <v>148</v>
      </c>
      <c r="B418" s="31" t="n">
        <v>36.76</v>
      </c>
    </row>
    <row r="419">
      <c r="A419" s="31" t="n">
        <v>150</v>
      </c>
      <c r="B419" s="31" t="n">
        <v>37.21</v>
      </c>
    </row>
    <row r="420">
      <c r="A420" s="31" t="n">
        <v>152</v>
      </c>
      <c r="B420" s="31" t="n">
        <v>37.66</v>
      </c>
    </row>
    <row r="421">
      <c r="A421" s="31" t="n">
        <v>154</v>
      </c>
      <c r="B421" s="31" t="n">
        <v>38.11</v>
      </c>
    </row>
    <row r="422">
      <c r="A422" s="31" t="n">
        <v>158</v>
      </c>
      <c r="B422" s="31" t="n">
        <v>39.01</v>
      </c>
    </row>
    <row r="423">
      <c r="A423" s="31" t="n">
        <v>160</v>
      </c>
      <c r="B423" s="31" t="n">
        <v>39.46</v>
      </c>
    </row>
    <row r="424">
      <c r="A424" s="31" t="n">
        <v>162</v>
      </c>
      <c r="B424" s="31" t="n">
        <v>39.91</v>
      </c>
    </row>
    <row r="425">
      <c r="A425" s="31" t="n">
        <v>164</v>
      </c>
      <c r="B425" s="31" t="n">
        <v>40.35</v>
      </c>
    </row>
    <row r="426">
      <c r="A426" s="31" t="n">
        <v>166</v>
      </c>
      <c r="B426" s="31" t="n">
        <v>40.8</v>
      </c>
    </row>
    <row r="427">
      <c r="A427" s="31" t="n">
        <v>168</v>
      </c>
      <c r="B427" s="31" t="n">
        <v>41.25</v>
      </c>
    </row>
    <row r="428">
      <c r="A428" s="31" t="n">
        <v>170</v>
      </c>
      <c r="B428" s="31" t="n">
        <v>41.7</v>
      </c>
    </row>
    <row r="429">
      <c r="A429" s="31" t="n">
        <v>172</v>
      </c>
      <c r="B429" s="31" t="n">
        <v>42.15</v>
      </c>
    </row>
    <row r="430">
      <c r="A430" s="31" t="n">
        <v>174</v>
      </c>
      <c r="B430" s="31" t="n">
        <v>42.6</v>
      </c>
    </row>
    <row r="431">
      <c r="A431" s="31" t="n">
        <v>176</v>
      </c>
      <c r="B431" s="31" t="n">
        <v>43.05</v>
      </c>
    </row>
    <row r="432">
      <c r="A432" s="31" t="n">
        <v>178</v>
      </c>
      <c r="B432" s="31" t="n">
        <v>43.5</v>
      </c>
    </row>
    <row r="433">
      <c r="A433" s="31" t="n">
        <v>180</v>
      </c>
      <c r="B433" s="31" t="n">
        <v>43.95</v>
      </c>
    </row>
    <row r="434">
      <c r="A434" s="31" t="n">
        <v>182</v>
      </c>
      <c r="B434" s="31" t="n">
        <v>44.4</v>
      </c>
    </row>
    <row r="435">
      <c r="A435" s="31" t="n">
        <v>184</v>
      </c>
      <c r="B435" s="31" t="n">
        <v>44.84</v>
      </c>
    </row>
    <row r="436">
      <c r="A436" s="31" t="n">
        <v>186</v>
      </c>
      <c r="B436" s="31" t="n">
        <v>45.29</v>
      </c>
    </row>
    <row r="437">
      <c r="A437" s="31" t="n">
        <v>188</v>
      </c>
      <c r="B437" s="31" t="n">
        <v>45.74</v>
      </c>
    </row>
    <row r="438">
      <c r="A438" s="31" t="n">
        <v>190</v>
      </c>
      <c r="B438" s="31" t="n">
        <v>46.19</v>
      </c>
    </row>
    <row r="439">
      <c r="A439" s="31" t="n">
        <v>192</v>
      </c>
      <c r="B439" s="31" t="n">
        <v>46.64</v>
      </c>
    </row>
    <row r="440">
      <c r="A440" s="31" t="n">
        <v>194</v>
      </c>
      <c r="B440" s="31" t="n">
        <v>47.09</v>
      </c>
    </row>
    <row r="441">
      <c r="A441" s="31" t="n">
        <v>196</v>
      </c>
      <c r="B441" s="31" t="n">
        <v>47.54</v>
      </c>
    </row>
    <row r="442">
      <c r="A442" s="31" t="n">
        <v>198</v>
      </c>
      <c r="B442" s="31" t="n">
        <v>47.99</v>
      </c>
    </row>
    <row r="443">
      <c r="A443" s="31" t="n">
        <v>200</v>
      </c>
      <c r="B443" s="31" t="n">
        <v>48.43</v>
      </c>
    </row>
    <row r="444">
      <c r="A444" s="31" t="n">
        <v>205</v>
      </c>
      <c r="B444" s="31" t="n">
        <v>49.49</v>
      </c>
    </row>
    <row r="445">
      <c r="A445" s="31" t="n">
        <v>210</v>
      </c>
      <c r="B445" s="31" t="n">
        <v>50.59</v>
      </c>
    </row>
    <row r="446">
      <c r="A446" s="31" t="n">
        <v>215</v>
      </c>
      <c r="B446" s="31" t="n">
        <v>51.7</v>
      </c>
    </row>
    <row r="447">
      <c r="A447" s="31" t="n">
        <v>220</v>
      </c>
      <c r="B447" s="31" t="n">
        <v>52.8</v>
      </c>
    </row>
    <row r="448">
      <c r="A448" s="31" t="n">
        <v>225</v>
      </c>
      <c r="B448" s="31" t="n">
        <v>53.9</v>
      </c>
    </row>
    <row r="449">
      <c r="A449" s="31" t="n">
        <v>230</v>
      </c>
      <c r="B449" s="31" t="n">
        <v>55</v>
      </c>
    </row>
    <row r="450">
      <c r="A450" s="31" t="n">
        <v>235</v>
      </c>
      <c r="B450" s="31" t="n">
        <v>56.1</v>
      </c>
    </row>
    <row r="451">
      <c r="A451" s="31" t="n">
        <v>240</v>
      </c>
      <c r="B451" s="31" t="n">
        <v>57.19</v>
      </c>
    </row>
    <row r="452">
      <c r="A452" s="31" t="n">
        <v>245</v>
      </c>
      <c r="B452" s="31" t="n">
        <v>58.29</v>
      </c>
    </row>
    <row r="453">
      <c r="A453" s="31" t="n">
        <v>250</v>
      </c>
      <c r="B453" s="31" t="n">
        <v>59.38</v>
      </c>
    </row>
    <row r="454">
      <c r="A454" s="31" t="n">
        <v>255</v>
      </c>
      <c r="B454" s="31" t="n">
        <v>60.48</v>
      </c>
    </row>
    <row r="455">
      <c r="A455" s="31" t="n">
        <v>260</v>
      </c>
      <c r="B455" s="31" t="n">
        <v>61.57</v>
      </c>
    </row>
    <row r="456">
      <c r="A456" s="31" t="n">
        <v>265</v>
      </c>
      <c r="B456" s="31" t="n">
        <v>62.66</v>
      </c>
    </row>
    <row r="457">
      <c r="A457" s="31" t="n">
        <v>270</v>
      </c>
      <c r="B457" s="31" t="n">
        <v>63.75</v>
      </c>
    </row>
    <row r="458">
      <c r="A458" s="31" t="n">
        <v>275</v>
      </c>
      <c r="B458" s="31" t="n">
        <v>64.84999999999999</v>
      </c>
    </row>
    <row r="459">
      <c r="A459" s="31" t="n">
        <v>280</v>
      </c>
      <c r="B459" s="31" t="n">
        <v>65.94</v>
      </c>
    </row>
    <row r="460">
      <c r="A460" s="31" t="n">
        <v>285</v>
      </c>
      <c r="B460" s="31" t="n">
        <v>67.03</v>
      </c>
    </row>
    <row r="461">
      <c r="A461" s="31" t="n">
        <v>290</v>
      </c>
      <c r="B461" s="31" t="n">
        <v>68.12</v>
      </c>
    </row>
    <row r="462">
      <c r="A462" s="31" t="n">
        <v>295</v>
      </c>
      <c r="B462" s="31" t="n">
        <v>69.2</v>
      </c>
    </row>
    <row r="463">
      <c r="A463" s="31" t="n">
        <v>300</v>
      </c>
      <c r="B463" s="31" t="n">
        <v>70.29000000000001</v>
      </c>
    </row>
    <row r="464">
      <c r="A464" s="31" t="n">
        <v>305</v>
      </c>
      <c r="B464" s="31" t="n">
        <v>71.38</v>
      </c>
    </row>
    <row r="465">
      <c r="A465" s="31" t="n">
        <v>315</v>
      </c>
      <c r="B465" s="31" t="n">
        <v>73.55</v>
      </c>
    </row>
    <row r="466">
      <c r="A466" s="31" t="n">
        <v>320</v>
      </c>
      <c r="B466" s="31" t="n">
        <v>74.63</v>
      </c>
    </row>
    <row r="467">
      <c r="A467" s="31" t="n">
        <v>325</v>
      </c>
      <c r="B467" s="31" t="n">
        <v>75.72</v>
      </c>
    </row>
    <row r="468">
      <c r="A468" s="31" t="n">
        <v>330</v>
      </c>
      <c r="B468" s="31" t="n">
        <v>76.8</v>
      </c>
    </row>
    <row r="469">
      <c r="A469" s="31" t="n">
        <v>335</v>
      </c>
      <c r="B469" s="31" t="n">
        <v>77.88</v>
      </c>
    </row>
    <row r="470">
      <c r="A470" s="31" t="n">
        <v>340</v>
      </c>
      <c r="B470" s="31" t="n">
        <v>78.95999999999999</v>
      </c>
    </row>
    <row r="471">
      <c r="A471" s="31" t="n">
        <v>345</v>
      </c>
      <c r="B471" s="31" t="n">
        <v>80.04000000000001</v>
      </c>
    </row>
    <row r="472">
      <c r="A472" s="31" t="n">
        <v>350</v>
      </c>
      <c r="B472" s="31" t="n">
        <v>81.12</v>
      </c>
    </row>
    <row r="473">
      <c r="A473" s="31" t="n">
        <v>355</v>
      </c>
      <c r="B473" s="31" t="n">
        <v>82.2</v>
      </c>
    </row>
    <row r="474">
      <c r="A474" s="31" t="n">
        <v>360</v>
      </c>
      <c r="B474" s="31" t="n">
        <v>83.28</v>
      </c>
    </row>
    <row r="475">
      <c r="A475" s="31" t="n">
        <v>365</v>
      </c>
      <c r="B475" s="31" t="n">
        <v>84.36</v>
      </c>
    </row>
    <row r="476">
      <c r="A476" s="31" t="n">
        <v>370</v>
      </c>
      <c r="B476" s="31" t="n">
        <v>85.44</v>
      </c>
    </row>
    <row r="477">
      <c r="A477" s="31" t="n">
        <v>375</v>
      </c>
      <c r="B477" s="31" t="n">
        <v>86.52</v>
      </c>
    </row>
    <row r="478">
      <c r="A478" s="31" t="n">
        <v>380</v>
      </c>
      <c r="B478" s="31" t="n">
        <v>87.59999999999999</v>
      </c>
    </row>
    <row r="479">
      <c r="A479" s="31" t="n">
        <v>385</v>
      </c>
      <c r="B479" s="31" t="n">
        <v>88.67</v>
      </c>
    </row>
    <row r="480">
      <c r="A480" s="31" t="n">
        <v>390</v>
      </c>
      <c r="B480" s="31" t="n">
        <v>89.75</v>
      </c>
    </row>
    <row r="481">
      <c r="A481" s="31" t="n">
        <v>395</v>
      </c>
      <c r="B481" s="31" t="n">
        <v>90.81999999999999</v>
      </c>
    </row>
    <row r="482">
      <c r="A482" s="31" t="n">
        <v>400</v>
      </c>
      <c r="B482" s="31" t="n">
        <v>91.90000000000001</v>
      </c>
    </row>
    <row r="483">
      <c r="A483" s="31" t="n">
        <v>405</v>
      </c>
      <c r="B483" s="31" t="n">
        <v>92.97</v>
      </c>
    </row>
    <row r="484">
      <c r="A484" s="31" t="n">
        <v>410</v>
      </c>
      <c r="B484" s="31" t="n">
        <v>94.05</v>
      </c>
    </row>
    <row r="485">
      <c r="A485" s="31" t="n">
        <v>415</v>
      </c>
      <c r="B485" s="31" t="n">
        <v>95.12</v>
      </c>
    </row>
    <row r="486">
      <c r="A486" s="31" t="n">
        <v>420</v>
      </c>
      <c r="B486" s="31" t="n">
        <v>96.2</v>
      </c>
    </row>
    <row r="487">
      <c r="A487" s="31" t="n">
        <v>425</v>
      </c>
      <c r="B487" s="31" t="n">
        <v>97.27</v>
      </c>
    </row>
    <row r="488">
      <c r="A488" s="31" t="n">
        <v>430</v>
      </c>
      <c r="B488" s="31" t="n">
        <v>98.34</v>
      </c>
    </row>
    <row r="489">
      <c r="A489" s="31" t="n">
        <v>435</v>
      </c>
      <c r="B489" s="31" t="n">
        <v>99.41</v>
      </c>
    </row>
    <row r="490">
      <c r="A490" s="31" t="n">
        <v>440</v>
      </c>
      <c r="B490" s="31" t="n">
        <v>100.49</v>
      </c>
    </row>
    <row r="491">
      <c r="A491" s="31" t="n">
        <v>445</v>
      </c>
      <c r="B491" s="31" t="n">
        <v>101.56</v>
      </c>
    </row>
    <row r="492">
      <c r="A492" s="31" t="n">
        <v>450</v>
      </c>
      <c r="B492" s="31" t="n">
        <v>102.63</v>
      </c>
    </row>
    <row r="493">
      <c r="A493" s="31" t="n">
        <v>455</v>
      </c>
      <c r="B493" s="31" t="n">
        <v>103.7</v>
      </c>
    </row>
    <row r="494">
      <c r="A494" s="31" t="n">
        <v>460</v>
      </c>
      <c r="B494" s="31" t="n">
        <v>104.77</v>
      </c>
    </row>
    <row r="495">
      <c r="A495" s="31" t="n">
        <v>465</v>
      </c>
      <c r="B495" s="31" t="n">
        <v>105.84</v>
      </c>
    </row>
    <row r="496">
      <c r="A496" s="31" t="n">
        <v>470</v>
      </c>
      <c r="B496" s="31" t="n">
        <v>106.91</v>
      </c>
    </row>
    <row r="497">
      <c r="A497" s="31" t="n">
        <v>475</v>
      </c>
      <c r="B497" s="31" t="n">
        <v>107.98</v>
      </c>
    </row>
    <row r="498">
      <c r="A498" s="31" t="n">
        <v>480</v>
      </c>
      <c r="B498" s="31" t="n">
        <v>109.05</v>
      </c>
    </row>
    <row r="499">
      <c r="A499" s="31" t="n">
        <v>485</v>
      </c>
      <c r="B499" s="31" t="n">
        <v>110.11</v>
      </c>
    </row>
    <row r="500">
      <c r="A500" s="31" t="n">
        <v>490</v>
      </c>
      <c r="B500" s="31" t="n">
        <v>111.18</v>
      </c>
    </row>
    <row r="501">
      <c r="A501" s="31" t="n">
        <v>495</v>
      </c>
      <c r="B501" s="31" t="n">
        <v>112.25</v>
      </c>
    </row>
    <row r="502">
      <c r="A502" s="31" t="n">
        <v>500</v>
      </c>
      <c r="B502" s="31" t="n">
        <v>113.32</v>
      </c>
    </row>
    <row r="503">
      <c r="A503" s="31" t="n">
        <v>505</v>
      </c>
      <c r="B503" s="31" t="n">
        <v>114.38</v>
      </c>
    </row>
    <row r="504">
      <c r="A504" s="31" t="n">
        <v>510</v>
      </c>
      <c r="B504" s="31" t="n">
        <v>115.45</v>
      </c>
    </row>
    <row r="505">
      <c r="A505" s="31" t="n">
        <v>515</v>
      </c>
      <c r="B505" s="31" t="n">
        <v>116.52</v>
      </c>
    </row>
    <row r="506">
      <c r="A506" s="31" t="n">
        <v>520</v>
      </c>
      <c r="B506" s="31" t="n">
        <v>117.58</v>
      </c>
    </row>
    <row r="507">
      <c r="A507" s="31" t="n">
        <v>525</v>
      </c>
      <c r="B507" s="31" t="n">
        <v>118.65</v>
      </c>
    </row>
    <row r="508">
      <c r="A508" s="31" t="n">
        <v>535</v>
      </c>
      <c r="B508" s="31" t="n">
        <v>120.78</v>
      </c>
    </row>
    <row r="509">
      <c r="A509" s="31" t="n">
        <v>540</v>
      </c>
      <c r="B509" s="31" t="n">
        <v>121.84</v>
      </c>
    </row>
    <row r="510">
      <c r="A510" s="31" t="n">
        <v>545</v>
      </c>
      <c r="B510" s="31" t="n">
        <v>122.91</v>
      </c>
    </row>
    <row r="511">
      <c r="A511" s="31" t="n">
        <v>550</v>
      </c>
      <c r="B511" s="31" t="n">
        <v>123.97</v>
      </c>
    </row>
    <row r="512">
      <c r="A512" s="31" t="n">
        <v>555</v>
      </c>
      <c r="B512" s="31" t="n">
        <v>125.04</v>
      </c>
    </row>
    <row r="513">
      <c r="A513" s="31" t="n">
        <v>560</v>
      </c>
      <c r="B513" s="31" t="n">
        <v>126.1</v>
      </c>
    </row>
    <row r="514">
      <c r="A514" s="31" t="n">
        <v>565</v>
      </c>
      <c r="B514" s="31" t="n">
        <v>127.16</v>
      </c>
    </row>
    <row r="515">
      <c r="A515" s="31" t="n">
        <v>570</v>
      </c>
      <c r="B515" s="31" t="n">
        <v>128.22</v>
      </c>
    </row>
    <row r="516">
      <c r="A516" s="31" t="n">
        <v>575</v>
      </c>
      <c r="B516" s="31" t="n">
        <v>129.29</v>
      </c>
    </row>
    <row r="517">
      <c r="A517" s="31" t="n">
        <v>580</v>
      </c>
      <c r="B517" s="31" t="n">
        <v>130.35</v>
      </c>
    </row>
    <row r="518">
      <c r="A518" s="31" t="n">
        <v>585</v>
      </c>
      <c r="B518" s="31" t="n">
        <v>131.41</v>
      </c>
    </row>
    <row r="519">
      <c r="A519" s="31" t="n">
        <v>590</v>
      </c>
      <c r="B519" s="31" t="n">
        <v>132.47</v>
      </c>
    </row>
    <row r="520">
      <c r="A520" s="31" t="n">
        <v>595</v>
      </c>
      <c r="B520" s="31" t="n">
        <v>133.54</v>
      </c>
    </row>
    <row r="521">
      <c r="A521" s="31" t="n">
        <v>600</v>
      </c>
      <c r="B521" s="31" t="n">
        <v>134.6</v>
      </c>
    </row>
    <row r="522">
      <c r="A522" s="31" t="n">
        <v>605</v>
      </c>
      <c r="B522" s="31" t="n">
        <v>135.66</v>
      </c>
    </row>
    <row r="523">
      <c r="A523" s="31" t="n">
        <v>610</v>
      </c>
      <c r="B523" s="31" t="n">
        <v>136.72</v>
      </c>
    </row>
    <row r="524">
      <c r="A524" s="31" t="n">
        <v>615</v>
      </c>
      <c r="B524" s="31" t="n">
        <v>137.78</v>
      </c>
    </row>
    <row r="525">
      <c r="A525" s="31" t="n">
        <v>620</v>
      </c>
      <c r="B525" s="31" t="n">
        <v>138.84</v>
      </c>
    </row>
    <row r="526">
      <c r="A526" s="31" t="n">
        <v>625</v>
      </c>
      <c r="B526" s="31" t="n">
        <v>139.9</v>
      </c>
    </row>
    <row r="527">
      <c r="A527" s="31" t="n">
        <v>630</v>
      </c>
      <c r="B527" s="31" t="n">
        <v>140.96</v>
      </c>
    </row>
    <row r="528">
      <c r="A528" s="31" t="n">
        <v>635</v>
      </c>
      <c r="B528" s="31" t="n">
        <v>142.02</v>
      </c>
    </row>
    <row r="529">
      <c r="A529" s="31" t="n">
        <v>640</v>
      </c>
      <c r="B529" s="31" t="n">
        <v>143.08</v>
      </c>
    </row>
    <row r="530">
      <c r="A530" s="31" t="n">
        <v>645</v>
      </c>
      <c r="B530" s="31" t="n">
        <v>144.14</v>
      </c>
    </row>
    <row r="531">
      <c r="A531" s="31" t="n">
        <v>650</v>
      </c>
      <c r="B531" s="31" t="n">
        <v>145.2</v>
      </c>
    </row>
    <row r="532">
      <c r="A532" s="31" t="n">
        <v>655</v>
      </c>
      <c r="B532" s="31" t="n">
        <v>146.25</v>
      </c>
    </row>
    <row r="533">
      <c r="A533" s="31" t="n">
        <v>660</v>
      </c>
      <c r="B533" s="31" t="n">
        <v>147.31</v>
      </c>
    </row>
    <row r="534">
      <c r="A534" s="31" t="n">
        <v>665</v>
      </c>
      <c r="B534" s="31" t="n">
        <v>148.37</v>
      </c>
    </row>
    <row r="535">
      <c r="A535" s="31" t="n">
        <v>670</v>
      </c>
      <c r="B535" s="31" t="n">
        <v>149.43</v>
      </c>
    </row>
    <row r="536">
      <c r="A536" s="31" t="n">
        <v>675</v>
      </c>
      <c r="B536" s="31" t="n">
        <v>150.49</v>
      </c>
    </row>
    <row r="537">
      <c r="A537" s="31" t="n">
        <v>685</v>
      </c>
      <c r="B537" s="31" t="n">
        <v>152.6</v>
      </c>
    </row>
    <row r="538">
      <c r="A538" s="31" t="n">
        <v>690</v>
      </c>
      <c r="B538" s="31" t="n">
        <v>153.66</v>
      </c>
    </row>
    <row r="539">
      <c r="A539" s="31" t="n">
        <v>695</v>
      </c>
      <c r="B539" s="31" t="n">
        <v>154.72</v>
      </c>
    </row>
    <row r="540">
      <c r="A540" s="31" t="n">
        <v>700</v>
      </c>
      <c r="B540" s="31" t="n">
        <v>155.77</v>
      </c>
    </row>
    <row r="541">
      <c r="A541" s="31" t="n">
        <v>705</v>
      </c>
      <c r="B541" s="31" t="n">
        <v>156.83</v>
      </c>
    </row>
    <row r="542">
      <c r="A542" s="31" t="n">
        <v>710</v>
      </c>
      <c r="B542" s="31" t="n">
        <v>157.89</v>
      </c>
    </row>
    <row r="543">
      <c r="A543" s="31" t="n">
        <v>715</v>
      </c>
      <c r="B543" s="31" t="n">
        <v>158.94</v>
      </c>
    </row>
    <row r="544">
      <c r="A544" s="31" t="n">
        <v>720</v>
      </c>
      <c r="B544" s="31" t="n">
        <v>160</v>
      </c>
    </row>
    <row r="545">
      <c r="A545" s="31" t="n">
        <v>725</v>
      </c>
      <c r="B545" s="31" t="n">
        <v>161.06</v>
      </c>
    </row>
    <row r="546">
      <c r="A546" s="31" t="n">
        <v>730</v>
      </c>
      <c r="B546" s="31" t="n">
        <v>162.11</v>
      </c>
    </row>
    <row r="547">
      <c r="A547" s="31" t="n">
        <v>735</v>
      </c>
      <c r="B547" s="31" t="n">
        <v>163.17</v>
      </c>
    </row>
    <row r="548">
      <c r="A548" s="31" t="n">
        <v>740</v>
      </c>
      <c r="B548" s="31" t="n">
        <v>164.22</v>
      </c>
    </row>
    <row r="549">
      <c r="A549" s="31" t="n">
        <v>745</v>
      </c>
      <c r="B549" s="31" t="n">
        <v>165.28</v>
      </c>
    </row>
    <row r="550">
      <c r="A550" s="31" t="n">
        <v>755</v>
      </c>
      <c r="B550" s="31" t="n">
        <v>167.39</v>
      </c>
    </row>
    <row r="551">
      <c r="A551" s="31" t="n">
        <v>760</v>
      </c>
      <c r="B551" s="31" t="n">
        <v>168.44</v>
      </c>
    </row>
    <row r="552">
      <c r="A552" s="31" t="n">
        <v>765</v>
      </c>
      <c r="B552" s="31" t="n">
        <v>169.5</v>
      </c>
    </row>
    <row r="553">
      <c r="A553" s="31" t="n">
        <v>770</v>
      </c>
      <c r="B553" s="31" t="n">
        <v>170.55</v>
      </c>
    </row>
    <row r="554">
      <c r="A554" s="31" t="n">
        <v>775</v>
      </c>
      <c r="B554" s="31" t="n">
        <v>171.6</v>
      </c>
    </row>
    <row r="555">
      <c r="A555" s="31" t="n">
        <v>780</v>
      </c>
      <c r="B555" s="31" t="n">
        <v>172.66</v>
      </c>
    </row>
    <row r="556">
      <c r="A556" s="31" t="n">
        <v>785</v>
      </c>
      <c r="B556" s="31" t="n">
        <v>173.71</v>
      </c>
    </row>
    <row r="557">
      <c r="A557" s="31" t="n">
        <v>790</v>
      </c>
      <c r="B557" s="31" t="n">
        <v>174.76</v>
      </c>
    </row>
    <row r="558">
      <c r="A558" s="31" t="n">
        <v>795</v>
      </c>
      <c r="B558" s="31" t="n">
        <v>175.82</v>
      </c>
    </row>
    <row r="559">
      <c r="A559" s="31" t="n">
        <v>800</v>
      </c>
      <c r="B559" s="31" t="n">
        <v>176.87</v>
      </c>
    </row>
    <row r="560">
      <c r="A560" s="31" t="n">
        <v>810</v>
      </c>
      <c r="B560" s="31" t="n">
        <v>178.98</v>
      </c>
    </row>
    <row r="561">
      <c r="A561" s="31" t="n">
        <v>820</v>
      </c>
      <c r="B561" s="31" t="n">
        <v>181.08</v>
      </c>
    </row>
    <row r="562">
      <c r="A562" s="31" t="n">
        <v>830</v>
      </c>
      <c r="B562" s="31" t="n">
        <v>183.19</v>
      </c>
    </row>
    <row r="563">
      <c r="A563" s="31" t="n">
        <v>840</v>
      </c>
      <c r="B563" s="31" t="n">
        <v>185.29</v>
      </c>
    </row>
    <row r="564">
      <c r="A564" s="31" t="n">
        <v>850</v>
      </c>
      <c r="B564" s="31" t="n">
        <v>187.39</v>
      </c>
    </row>
    <row r="565">
      <c r="A565" s="31" t="n">
        <v>860</v>
      </c>
      <c r="B565" s="31" t="n">
        <v>189.49</v>
      </c>
    </row>
    <row r="566">
      <c r="A566" s="31" t="n">
        <v>870</v>
      </c>
      <c r="B566" s="31" t="n">
        <v>191.6</v>
      </c>
    </row>
    <row r="567">
      <c r="A567" s="31" t="n">
        <v>880</v>
      </c>
      <c r="B567" s="31" t="n">
        <v>193.7</v>
      </c>
    </row>
    <row r="568">
      <c r="A568" s="31" t="n">
        <v>890</v>
      </c>
      <c r="B568" s="31" t="n">
        <v>195.7</v>
      </c>
    </row>
    <row r="569">
      <c r="A569" s="31" t="n">
        <v>900</v>
      </c>
      <c r="B569" s="31" t="n">
        <v>197.9</v>
      </c>
    </row>
    <row r="570">
      <c r="A570" s="31" t="n">
        <v>910</v>
      </c>
      <c r="B570" s="31" t="n">
        <v>200</v>
      </c>
    </row>
    <row r="571">
      <c r="A571" s="31" t="n">
        <v>920</v>
      </c>
      <c r="B571" s="31" t="n">
        <v>202.1</v>
      </c>
    </row>
    <row r="572">
      <c r="A572" s="31" t="n">
        <v>930</v>
      </c>
      <c r="B572" s="31" t="n">
        <v>204.2</v>
      </c>
    </row>
    <row r="573">
      <c r="A573" s="31" t="n">
        <v>940</v>
      </c>
      <c r="B573" s="31" t="n">
        <v>206.3</v>
      </c>
    </row>
    <row r="574">
      <c r="A574" s="31" t="n">
        <v>950</v>
      </c>
      <c r="B574" s="31" t="n">
        <v>208.39</v>
      </c>
    </row>
    <row r="575">
      <c r="A575" s="31" t="n">
        <v>960</v>
      </c>
      <c r="B575" s="31" t="n">
        <v>210.49</v>
      </c>
    </row>
    <row r="576">
      <c r="A576" s="31" t="n">
        <v>970</v>
      </c>
      <c r="B576" s="31" t="n">
        <v>212.59</v>
      </c>
    </row>
    <row r="577">
      <c r="A577" s="31" t="n">
        <v>980</v>
      </c>
      <c r="B577" s="31" t="n">
        <v>214.68</v>
      </c>
    </row>
    <row r="578">
      <c r="A578" s="31" t="n">
        <v>990</v>
      </c>
      <c r="B578" s="31" t="n">
        <v>216.78</v>
      </c>
    </row>
    <row r="579">
      <c r="A579" s="31" t="n">
        <v>1000</v>
      </c>
      <c r="B579" s="31" t="n">
        <v>218.87</v>
      </c>
    </row>
    <row r="580">
      <c r="A580" s="31" t="n">
        <v>1250</v>
      </c>
      <c r="B580" s="31" t="n">
        <v>271.14</v>
      </c>
    </row>
    <row r="581">
      <c r="A581" s="31" t="n">
        <v>1600</v>
      </c>
      <c r="B581" s="31" t="n">
        <v>343.9</v>
      </c>
    </row>
    <row r="582">
      <c r="A582" s="31" t="n">
        <v>2000</v>
      </c>
      <c r="B582" s="31" t="n">
        <v>426.8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2026-10-28T22:32:34Z</dcterms:created>
  <dcterms:modified xmlns:dcterms="http://purl.org/dc/terms/" xmlns:xsi="http://www.w3.org/2001/XMLSchema-instance" xsi:type="dcterms:W3CDTF">2026-10-28T22:32:34Z</dcterms:modified>
</cp:coreProperties>
</file>