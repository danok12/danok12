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Kursovoy\.claude\worktrees\earthwork-drawings-autocad-d57f76\kursovaya-tsp\"/>
    </mc:Choice>
  </mc:AlternateContent>
  <xr:revisionPtr revIDLastSave="0" documentId="13_ncr:1_{C767318A-8A9F-47B5-9493-5ED2D61FAD8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Исходные данные" sheetId="1" r:id="rId1"/>
    <sheet name="ЛНР" sheetId="2" r:id="rId2"/>
    <sheet name="Объёмы" sheetId="3" r:id="rId3"/>
    <sheet name="Котлован" sheetId="4" r:id="rId4"/>
    <sheet name="Сводный баланс" sheetId="5" r:id="rId5"/>
    <sheet name="Отметки (оконч.)" sheetId="6" r:id="rId6"/>
    <sheet name="ЛНР (оконч.)" sheetId="7" r:id="rId7"/>
    <sheet name="Объёмы (оконч.)" sheetId="8" r:id="rId8"/>
    <sheet name="Котлован (оконч.)" sheetId="9" r:id="rId9"/>
    <sheet name="Баланс (оконч.)" sheetId="10" r:id="rId10"/>
    <sheet name="Табл. 3 котлован" sheetId="11" r:id="rId11"/>
    <sheet name="Табл. 4 распределение" sheetId="12" r:id="rId12"/>
    <sheet name="Табл. 5 скрепер" sheetId="13" r:id="rId13"/>
    <sheet name="Табл. 6 самосвал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14" l="1"/>
  <c r="C14" i="14" s="1"/>
  <c r="B8" i="14"/>
  <c r="C12" i="14" s="1"/>
  <c r="C7" i="14"/>
  <c r="C13" i="14" s="1"/>
  <c r="B7" i="14"/>
  <c r="C11" i="14" s="1"/>
  <c r="C15" i="14" s="1"/>
  <c r="W8" i="13"/>
  <c r="V8" i="13"/>
  <c r="U8" i="13"/>
  <c r="T8" i="13"/>
  <c r="S8" i="13"/>
  <c r="R8" i="13"/>
  <c r="C14" i="13" s="1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C11" i="13" s="1"/>
  <c r="G7" i="13"/>
  <c r="F7" i="13"/>
  <c r="E7" i="13"/>
  <c r="D7" i="13"/>
  <c r="C7" i="13"/>
  <c r="B7" i="13"/>
  <c r="K20" i="12"/>
  <c r="F20" i="12"/>
  <c r="E20" i="12"/>
  <c r="D20" i="12"/>
  <c r="N19" i="12"/>
  <c r="N20" i="12" s="1"/>
  <c r="M19" i="12"/>
  <c r="M20" i="12" s="1"/>
  <c r="L19" i="12"/>
  <c r="L20" i="12" s="1"/>
  <c r="K19" i="12"/>
  <c r="J19" i="12"/>
  <c r="J20" i="12" s="1"/>
  <c r="I19" i="12"/>
  <c r="I20" i="12" s="1"/>
  <c r="H19" i="12"/>
  <c r="H20" i="12" s="1"/>
  <c r="G19" i="12"/>
  <c r="G20" i="12" s="1"/>
  <c r="F19" i="12"/>
  <c r="E19" i="12"/>
  <c r="D19" i="12"/>
  <c r="C19" i="12"/>
  <c r="C20" i="12" s="1"/>
  <c r="B19" i="12"/>
  <c r="O18" i="12"/>
  <c r="O17" i="12"/>
  <c r="O16" i="12"/>
  <c r="O15" i="12"/>
  <c r="O14" i="12"/>
  <c r="O13" i="12"/>
  <c r="O12" i="12"/>
  <c r="O11" i="12"/>
  <c r="O10" i="12"/>
  <c r="O9" i="12"/>
  <c r="O8" i="12"/>
  <c r="O7" i="12"/>
  <c r="F6" i="11"/>
  <c r="E6" i="11"/>
  <c r="C51" i="9"/>
  <c r="C30" i="9"/>
  <c r="C24" i="9"/>
  <c r="C45" i="9" s="1"/>
  <c r="C22" i="9"/>
  <c r="C21" i="9"/>
  <c r="F30" i="8"/>
  <c r="B17" i="8"/>
  <c r="B16" i="8"/>
  <c r="F15" i="8"/>
  <c r="F14" i="8"/>
  <c r="B11" i="8"/>
  <c r="F10" i="8"/>
  <c r="F9" i="8"/>
  <c r="F8" i="8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C51" i="4"/>
  <c r="C45" i="4"/>
  <c r="C34" i="4"/>
  <c r="C30" i="4"/>
  <c r="C24" i="4"/>
  <c r="C25" i="4" s="1"/>
  <c r="C46" i="4" s="1"/>
  <c r="C61" i="4" s="1"/>
  <c r="C22" i="4"/>
  <c r="C21" i="4"/>
  <c r="F30" i="3"/>
  <c r="B26" i="3"/>
  <c r="B25" i="3"/>
  <c r="G20" i="3"/>
  <c r="C20" i="3"/>
  <c r="G19" i="3"/>
  <c r="C19" i="3"/>
  <c r="G18" i="3"/>
  <c r="C18" i="3"/>
  <c r="C17" i="3"/>
  <c r="B17" i="3"/>
  <c r="D17" i="3" s="1"/>
  <c r="C16" i="3"/>
  <c r="B16" i="3"/>
  <c r="G15" i="3"/>
  <c r="F15" i="3"/>
  <c r="G14" i="3"/>
  <c r="H14" i="3" s="1"/>
  <c r="I14" i="3" s="1"/>
  <c r="F14" i="3"/>
  <c r="G13" i="3"/>
  <c r="C13" i="3"/>
  <c r="G12" i="3"/>
  <c r="C12" i="3"/>
  <c r="C11" i="3"/>
  <c r="B11" i="3"/>
  <c r="D11" i="3" s="1"/>
  <c r="G10" i="3"/>
  <c r="F10" i="3"/>
  <c r="H10" i="3" s="1"/>
  <c r="I10" i="3" s="1"/>
  <c r="G9" i="3"/>
  <c r="F9" i="3"/>
  <c r="G8" i="3"/>
  <c r="F8" i="3"/>
  <c r="G7" i="3"/>
  <c r="C7" i="3"/>
  <c r="G6" i="3"/>
  <c r="C6" i="3"/>
  <c r="F12" i="2"/>
  <c r="D12" i="2"/>
  <c r="G12" i="2" s="1"/>
  <c r="H12" i="2" s="1"/>
  <c r="F11" i="2"/>
  <c r="D11" i="2"/>
  <c r="G11" i="2" s="1"/>
  <c r="F10" i="2"/>
  <c r="D10" i="2"/>
  <c r="F9" i="2"/>
  <c r="D9" i="2"/>
  <c r="G9" i="2" s="1"/>
  <c r="H9" i="2" s="1"/>
  <c r="F8" i="2"/>
  <c r="D8" i="2"/>
  <c r="G8" i="2" s="1"/>
  <c r="F7" i="2"/>
  <c r="D7" i="2"/>
  <c r="F6" i="2"/>
  <c r="G6" i="2" s="1"/>
  <c r="D6" i="2"/>
  <c r="F5" i="2"/>
  <c r="D5" i="2"/>
  <c r="G5" i="2" s="1"/>
  <c r="I16" i="1"/>
  <c r="H16" i="1"/>
  <c r="G16" i="1"/>
  <c r="F16" i="1"/>
  <c r="E16" i="1"/>
  <c r="D16" i="1"/>
  <c r="I14" i="1"/>
  <c r="H14" i="1"/>
  <c r="G14" i="1"/>
  <c r="F14" i="1"/>
  <c r="E14" i="1"/>
  <c r="D14" i="1"/>
  <c r="I12" i="1"/>
  <c r="H12" i="1"/>
  <c r="G12" i="1"/>
  <c r="F12" i="1"/>
  <c r="E12" i="1"/>
  <c r="D12" i="1"/>
  <c r="I10" i="1"/>
  <c r="H10" i="1"/>
  <c r="G10" i="1"/>
  <c r="F10" i="1"/>
  <c r="E10" i="1"/>
  <c r="D10" i="1"/>
  <c r="G10" i="2" l="1"/>
  <c r="C12" i="13"/>
  <c r="C13" i="13"/>
  <c r="H9" i="3"/>
  <c r="I9" i="3" s="1"/>
  <c r="G7" i="2"/>
  <c r="H7" i="2" s="1"/>
  <c r="H8" i="3"/>
  <c r="I8" i="3" s="1"/>
  <c r="H15" i="3"/>
  <c r="I15" i="3" s="1"/>
  <c r="D16" i="3"/>
  <c r="D25" i="3"/>
  <c r="F25" i="3" s="1"/>
  <c r="H5" i="2"/>
  <c r="D26" i="3" s="1"/>
  <c r="F26" i="3" s="1"/>
  <c r="F18" i="3"/>
  <c r="H10" i="2"/>
  <c r="B19" i="3" s="1"/>
  <c r="D19" i="3" s="1"/>
  <c r="F6" i="3"/>
  <c r="H6" i="2"/>
  <c r="B7" i="3" s="1"/>
  <c r="F12" i="3"/>
  <c r="H8" i="2"/>
  <c r="B13" i="3" s="1"/>
  <c r="F19" i="3"/>
  <c r="H19" i="3" s="1"/>
  <c r="I19" i="3" s="1"/>
  <c r="H11" i="2"/>
  <c r="B20" i="3" s="1"/>
  <c r="C15" i="13"/>
  <c r="C25" i="9"/>
  <c r="C26" i="4"/>
  <c r="B12" i="3" l="1"/>
  <c r="D12" i="3" s="1"/>
  <c r="H12" i="3"/>
  <c r="I12" i="3" s="1"/>
  <c r="H18" i="3"/>
  <c r="I18" i="3" s="1"/>
  <c r="B18" i="3"/>
  <c r="D18" i="3" s="1"/>
  <c r="F7" i="3"/>
  <c r="H7" i="3" s="1"/>
  <c r="I7" i="3" s="1"/>
  <c r="D7" i="3"/>
  <c r="B6" i="3"/>
  <c r="H6" i="3"/>
  <c r="C47" i="4"/>
  <c r="C58" i="4" s="1"/>
  <c r="C27" i="4"/>
  <c r="C46" i="9"/>
  <c r="C61" i="9" s="1"/>
  <c r="C26" i="9"/>
  <c r="F20" i="3"/>
  <c r="H20" i="3" s="1"/>
  <c r="I20" i="3" s="1"/>
  <c r="D20" i="3"/>
  <c r="F13" i="3"/>
  <c r="H13" i="3" s="1"/>
  <c r="I13" i="3" s="1"/>
  <c r="D13" i="3"/>
  <c r="C47" i="9" l="1"/>
  <c r="C58" i="9" s="1"/>
  <c r="C27" i="9"/>
  <c r="F21" i="3"/>
  <c r="D6" i="3"/>
  <c r="D21" i="3" s="1"/>
  <c r="F31" i="3" s="1"/>
  <c r="C5" i="5" s="1"/>
  <c r="B21" i="3"/>
  <c r="F29" i="3" s="1"/>
  <c r="H21" i="3"/>
  <c r="F32" i="3" s="1"/>
  <c r="I6" i="3"/>
  <c r="I21" i="3" s="1"/>
  <c r="C31" i="4"/>
  <c r="C28" i="4"/>
  <c r="C41" i="4"/>
  <c r="C57" i="4" s="1"/>
  <c r="C40" i="4"/>
  <c r="C39" i="4"/>
  <c r="B72" i="4" l="1"/>
  <c r="D72" i="4" s="1"/>
  <c r="F72" i="4" s="1"/>
  <c r="C74" i="4"/>
  <c r="E74" i="4" s="1"/>
  <c r="G74" i="4" s="1"/>
  <c r="B74" i="4"/>
  <c r="D74" i="4" s="1"/>
  <c r="F74" i="4" s="1"/>
  <c r="H74" i="4" s="1"/>
  <c r="C69" i="4"/>
  <c r="E69" i="4" s="1"/>
  <c r="G69" i="4" s="1"/>
  <c r="B69" i="4"/>
  <c r="D69" i="4" s="1"/>
  <c r="F69" i="4" s="1"/>
  <c r="C71" i="4"/>
  <c r="E71" i="4" s="1"/>
  <c r="G71" i="4" s="1"/>
  <c r="B71" i="4"/>
  <c r="D71" i="4" s="1"/>
  <c r="F71" i="4" s="1"/>
  <c r="H71" i="4" s="1"/>
  <c r="C73" i="4"/>
  <c r="E73" i="4" s="1"/>
  <c r="G73" i="4" s="1"/>
  <c r="B73" i="4"/>
  <c r="D73" i="4" s="1"/>
  <c r="F73" i="4" s="1"/>
  <c r="H73" i="4" s="1"/>
  <c r="C70" i="4"/>
  <c r="E70" i="4" s="1"/>
  <c r="G70" i="4" s="1"/>
  <c r="B70" i="4"/>
  <c r="D70" i="4" s="1"/>
  <c r="F70" i="4" s="1"/>
  <c r="H70" i="4" s="1"/>
  <c r="C72" i="4"/>
  <c r="E72" i="4" s="1"/>
  <c r="G72" i="4" s="1"/>
  <c r="D5" i="5"/>
  <c r="F33" i="3"/>
  <c r="C31" i="9"/>
  <c r="C28" i="9"/>
  <c r="C41" i="9"/>
  <c r="C57" i="9" s="1"/>
  <c r="C40" i="9"/>
  <c r="C39" i="9"/>
  <c r="H69" i="4" l="1"/>
  <c r="F8" i="11"/>
  <c r="E8" i="11"/>
  <c r="B8" i="11"/>
  <c r="C8" i="11" s="1"/>
  <c r="C70" i="9"/>
  <c r="E70" i="9" s="1"/>
  <c r="G70" i="9" s="1"/>
  <c r="B70" i="9"/>
  <c r="D70" i="9" s="1"/>
  <c r="F70" i="9" s="1"/>
  <c r="C72" i="9"/>
  <c r="E72" i="9" s="1"/>
  <c r="G72" i="9" s="1"/>
  <c r="B72" i="9"/>
  <c r="D72" i="9" s="1"/>
  <c r="F72" i="9" s="1"/>
  <c r="C74" i="9"/>
  <c r="E74" i="9" s="1"/>
  <c r="G74" i="9" s="1"/>
  <c r="B74" i="9"/>
  <c r="D74" i="9" s="1"/>
  <c r="F74" i="9" s="1"/>
  <c r="C69" i="9"/>
  <c r="E69" i="9" s="1"/>
  <c r="G69" i="9" s="1"/>
  <c r="B69" i="9"/>
  <c r="D69" i="9" s="1"/>
  <c r="F69" i="9" s="1"/>
  <c r="C71" i="9"/>
  <c r="E71" i="9" s="1"/>
  <c r="G71" i="9" s="1"/>
  <c r="B71" i="9"/>
  <c r="D71" i="9" s="1"/>
  <c r="F71" i="9" s="1"/>
  <c r="C73" i="9"/>
  <c r="E73" i="9" s="1"/>
  <c r="G73" i="9" s="1"/>
  <c r="B73" i="9"/>
  <c r="D73" i="9" s="1"/>
  <c r="F73" i="9" s="1"/>
  <c r="E5" i="5"/>
  <c r="H72" i="4"/>
  <c r="C32" i="4" s="1"/>
  <c r="C33" i="4" s="1"/>
  <c r="C35" i="4" l="1"/>
  <c r="C52" i="4" l="1"/>
  <c r="C62" i="4"/>
  <c r="C63" i="4" s="1"/>
  <c r="C64" i="4" s="1"/>
  <c r="C37" i="4"/>
  <c r="C38" i="4" s="1"/>
  <c r="C53" i="4"/>
  <c r="C42" i="4" l="1"/>
  <c r="C43" i="4"/>
  <c r="C44" i="4" l="1"/>
  <c r="D12" i="5" l="1"/>
  <c r="C55" i="4"/>
  <c r="C56" i="4" s="1"/>
  <c r="C65" i="4" l="1"/>
  <c r="D6" i="5" s="1"/>
  <c r="C6" i="5"/>
  <c r="C7" i="5" s="1"/>
  <c r="E6" i="5" l="1"/>
  <c r="E7" i="5" s="1"/>
  <c r="C8" i="5" s="1"/>
  <c r="D7" i="5"/>
  <c r="D10" i="5" l="1"/>
  <c r="D11" i="5" s="1"/>
  <c r="D13" i="5"/>
  <c r="D14" i="5" s="1"/>
  <c r="B3" i="6" s="1"/>
  <c r="C31" i="6" l="1"/>
  <c r="D31" i="6" s="1"/>
  <c r="C20" i="6"/>
  <c r="D20" i="6" s="1"/>
  <c r="K12" i="6" s="1"/>
  <c r="C25" i="6"/>
  <c r="D25" i="6" s="1"/>
  <c r="C13" i="6"/>
  <c r="D13" i="6" s="1"/>
  <c r="J10" i="6" s="1"/>
  <c r="C30" i="6"/>
  <c r="D30" i="6" s="1"/>
  <c r="C16" i="6"/>
  <c r="D16" i="6" s="1"/>
  <c r="C19" i="6"/>
  <c r="D19" i="6" s="1"/>
  <c r="C24" i="6"/>
  <c r="D24" i="6" s="1"/>
  <c r="C29" i="6"/>
  <c r="D29" i="6" s="1"/>
  <c r="H16" i="6" s="1"/>
  <c r="C15" i="6"/>
  <c r="D15" i="6" s="1"/>
  <c r="F12" i="6" s="1"/>
  <c r="C18" i="6"/>
  <c r="D18" i="6" s="1"/>
  <c r="C10" i="6"/>
  <c r="D10" i="6" s="1"/>
  <c r="C23" i="6"/>
  <c r="D23" i="6" s="1"/>
  <c r="C28" i="6"/>
  <c r="D28" i="6" s="1"/>
  <c r="C17" i="6"/>
  <c r="D17" i="6" s="1"/>
  <c r="C9" i="6"/>
  <c r="D9" i="6" s="1"/>
  <c r="C22" i="6"/>
  <c r="D22" i="6" s="1"/>
  <c r="G14" i="6" s="1"/>
  <c r="C12" i="6"/>
  <c r="D12" i="6" s="1"/>
  <c r="I10" i="6" s="1"/>
  <c r="C27" i="6"/>
  <c r="D27" i="6" s="1"/>
  <c r="C32" i="6"/>
  <c r="D32" i="6" s="1"/>
  <c r="C21" i="6"/>
  <c r="D21" i="6" s="1"/>
  <c r="C11" i="6"/>
  <c r="D11" i="6" s="1"/>
  <c r="H10" i="6" s="1"/>
  <c r="C26" i="6"/>
  <c r="D26" i="6" s="1"/>
  <c r="K14" i="6" s="1"/>
  <c r="C14" i="6"/>
  <c r="D14" i="6" s="1"/>
  <c r="K10" i="6" s="1"/>
  <c r="G16" i="6" l="1"/>
  <c r="C17" i="8"/>
  <c r="D17" i="8" s="1"/>
  <c r="G10" i="6"/>
  <c r="B26" i="8"/>
  <c r="G6" i="8"/>
  <c r="D6" i="7"/>
  <c r="G6" i="7" s="1"/>
  <c r="F5" i="7"/>
  <c r="H74" i="9"/>
  <c r="C18" i="8"/>
  <c r="H69" i="9"/>
  <c r="H71" i="9"/>
  <c r="C13" i="8"/>
  <c r="H73" i="9"/>
  <c r="D9" i="7"/>
  <c r="G9" i="7" s="1"/>
  <c r="H9" i="7" s="1"/>
  <c r="H14" i="6"/>
  <c r="H70" i="9"/>
  <c r="H72" i="9"/>
  <c r="F8" i="7"/>
  <c r="D11" i="7"/>
  <c r="G19" i="8"/>
  <c r="J14" i="6"/>
  <c r="G15" i="8"/>
  <c r="H15" i="8" s="1"/>
  <c r="I15" i="8" s="1"/>
  <c r="F10" i="6"/>
  <c r="B25" i="8"/>
  <c r="C6" i="8"/>
  <c r="D5" i="7"/>
  <c r="G5" i="7" s="1"/>
  <c r="I12" i="6"/>
  <c r="G9" i="8"/>
  <c r="H9" i="8" s="1"/>
  <c r="I9" i="8" s="1"/>
  <c r="G10" i="8"/>
  <c r="H10" i="8" s="1"/>
  <c r="I10" i="8" s="1"/>
  <c r="J12" i="6"/>
  <c r="C7" i="8"/>
  <c r="D7" i="7"/>
  <c r="G7" i="7" s="1"/>
  <c r="H7" i="7" s="1"/>
  <c r="F6" i="7"/>
  <c r="G12" i="6"/>
  <c r="C12" i="8"/>
  <c r="F10" i="7"/>
  <c r="C19" i="8"/>
  <c r="I16" i="6"/>
  <c r="F16" i="6"/>
  <c r="C16" i="8"/>
  <c r="D16" i="8" s="1"/>
  <c r="G7" i="8"/>
  <c r="C34" i="9"/>
  <c r="F7" i="7"/>
  <c r="H12" i="6"/>
  <c r="G12" i="8"/>
  <c r="G8" i="8"/>
  <c r="H8" i="8" s="1"/>
  <c r="I8" i="8" s="1"/>
  <c r="D8" i="7"/>
  <c r="G8" i="7" s="1"/>
  <c r="G13" i="8"/>
  <c r="D10" i="7"/>
  <c r="F9" i="7"/>
  <c r="I14" i="6"/>
  <c r="G18" i="8"/>
  <c r="G14" i="8"/>
  <c r="H14" i="8" s="1"/>
  <c r="I14" i="8" s="1"/>
  <c r="C11" i="8"/>
  <c r="D11" i="8" s="1"/>
  <c r="F14" i="6"/>
  <c r="G20" i="8"/>
  <c r="K16" i="6"/>
  <c r="F12" i="7"/>
  <c r="F11" i="7"/>
  <c r="C20" i="8"/>
  <c r="J16" i="6"/>
  <c r="D12" i="7"/>
  <c r="G12" i="7" s="1"/>
  <c r="H12" i="7" s="1"/>
  <c r="C32" i="9" l="1"/>
  <c r="C33" i="9" s="1"/>
  <c r="D25" i="8"/>
  <c r="H5" i="7"/>
  <c r="D26" i="8" s="1"/>
  <c r="F25" i="8"/>
  <c r="H6" i="7"/>
  <c r="B7" i="8" s="1"/>
  <c r="F6" i="8"/>
  <c r="F26" i="8"/>
  <c r="G11" i="7"/>
  <c r="F12" i="8"/>
  <c r="H8" i="7"/>
  <c r="B13" i="8" s="1"/>
  <c r="G10" i="7"/>
  <c r="F13" i="8" l="1"/>
  <c r="H13" i="8" s="1"/>
  <c r="I13" i="8" s="1"/>
  <c r="D13" i="8"/>
  <c r="H10" i="7"/>
  <c r="F18" i="8"/>
  <c r="H11" i="7"/>
  <c r="B20" i="8" s="1"/>
  <c r="F19" i="8"/>
  <c r="H19" i="8" s="1"/>
  <c r="I19" i="8" s="1"/>
  <c r="H6" i="8"/>
  <c r="B6" i="8"/>
  <c r="F7" i="8"/>
  <c r="H7" i="8" s="1"/>
  <c r="I7" i="8" s="1"/>
  <c r="D7" i="8"/>
  <c r="H12" i="8"/>
  <c r="I12" i="8" s="1"/>
  <c r="B12" i="8"/>
  <c r="D12" i="8" s="1"/>
  <c r="C35" i="9"/>
  <c r="C37" i="9" l="1"/>
  <c r="C38" i="9" s="1"/>
  <c r="C52" i="9"/>
  <c r="C62" i="9"/>
  <c r="C63" i="9" s="1"/>
  <c r="C64" i="9" s="1"/>
  <c r="C53" i="9"/>
  <c r="F20" i="8"/>
  <c r="H20" i="8" s="1"/>
  <c r="I20" i="8" s="1"/>
  <c r="D20" i="8"/>
  <c r="B18" i="8"/>
  <c r="D18" i="8" s="1"/>
  <c r="H18" i="8"/>
  <c r="I18" i="8" s="1"/>
  <c r="D6" i="8"/>
  <c r="D21" i="8" s="1"/>
  <c r="F31" i="8" s="1"/>
  <c r="C5" i="10" s="1"/>
  <c r="I6" i="8"/>
  <c r="B19" i="8"/>
  <c r="D19" i="8" s="1"/>
  <c r="B21" i="8" l="1"/>
  <c r="H21" i="8"/>
  <c r="F32" i="8" s="1"/>
  <c r="I21" i="8"/>
  <c r="C43" i="9"/>
  <c r="C42" i="9"/>
  <c r="C44" i="9" s="1"/>
  <c r="F21" i="8"/>
  <c r="D5" i="10" l="1"/>
  <c r="F33" i="8"/>
  <c r="D12" i="10"/>
  <c r="C55" i="9"/>
  <c r="C56" i="9" s="1"/>
  <c r="F29" i="8"/>
  <c r="B5" i="11" l="1"/>
  <c r="C5" i="11" s="1"/>
  <c r="C65" i="9"/>
  <c r="C6" i="10"/>
  <c r="C7" i="10" s="1"/>
  <c r="F5" i="11"/>
  <c r="E5" i="11"/>
  <c r="E5" i="10"/>
  <c r="F9" i="11" l="1"/>
  <c r="E9" i="11"/>
  <c r="B9" i="11"/>
  <c r="C9" i="11" s="1"/>
  <c r="C10" i="11" s="1"/>
  <c r="F7" i="11"/>
  <c r="E7" i="11"/>
  <c r="D6" i="10"/>
  <c r="E10" i="11"/>
  <c r="E6" i="10" l="1"/>
  <c r="E7" i="10" s="1"/>
  <c r="C8" i="10" s="1"/>
  <c r="D7" i="10"/>
  <c r="D13" i="10" l="1"/>
  <c r="D14" i="10" s="1"/>
  <c r="D10" i="10"/>
  <c r="D11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Супесь: kо.р = 1,03…1,05 (прил. 2 методички). Принято 1,04 — по указанию преподавателя брать в этом диапазоне.</t>
        </r>
      </text>
    </comment>
    <comment ref="B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Супесь: kр = 1,12…1,17 (прил. 2 методички). Принято 1,15 — решение пользователя.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A6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пятиугольник: h1, h7, h8; т.0 на h1–h2, h2–h8</t>
        </r>
      </text>
    </comment>
    <comment ref="E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треугольник: h2; т.0 на h2–h8, h1–h2</t>
        </r>
      </text>
    </comment>
    <comment ref="A7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треугольник: h8; т.0 на h2–h8, h8–h9</t>
        </r>
      </text>
    </comment>
    <comment ref="E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пятиугольник: h9, h3, h2; т.0 на h8–h9, h2–h8</t>
        </r>
      </text>
    </comment>
    <comment ref="E8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квадрат: h9, h10, h4, h3</t>
        </r>
      </text>
    </comment>
    <comment ref="E9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квадрат: h10, h11, h5, h4</t>
        </r>
      </text>
    </comment>
    <comment ref="E10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квадрат: h11, h12, h6, h5</t>
        </r>
      </text>
    </comment>
    <comment ref="A1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квадрат: h13, h14, h8, h7</t>
        </r>
      </text>
    </comment>
    <comment ref="A12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пятиугольник: h8, h14, h15; т.0 на h8–h9, h9–h15</t>
        </r>
      </text>
    </comment>
    <comment ref="E12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треугольник: h9; т.0 на h9–h15, h8–h9</t>
        </r>
      </text>
    </comment>
    <comment ref="A13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треугольник: h15; т.0 на h9–h15, h15–h16</t>
        </r>
      </text>
    </comment>
    <comment ref="E13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пятиугольник: h16, h10, h9; т.0 на h15–h16, h9–h15</t>
        </r>
      </text>
    </comment>
    <comment ref="E1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квадрат: h16, h17, h11, h10</t>
        </r>
      </text>
    </comment>
    <comment ref="E15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квадрат: h17, h18, h12, h11</t>
        </r>
      </text>
    </comment>
    <comment ref="A16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квадрат: h19, h20, h14, h13</t>
        </r>
      </text>
    </comment>
    <comment ref="A17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квадрат: h20, h21, h15, h14</t>
        </r>
      </text>
    </comment>
    <comment ref="A18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пятиугольник: h15, h21, h22; т.0 на h15–h16, h16–h22</t>
        </r>
      </text>
    </comment>
    <comment ref="E18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треугольник: h16; т.0 на h16–h22, h15–h16</t>
        </r>
      </text>
    </comment>
    <comment ref="A19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трапеция: h22, h23; т.0 на h16–h22, h17–h23</t>
        </r>
      </text>
    </comment>
    <comment ref="E19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трапеция: h17, h16; т.0 на h17–h23, h16–h22</t>
        </r>
      </text>
    </comment>
    <comment ref="A20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треугольник: h23; т.0 на h17–h23, h23–h24</t>
        </r>
      </text>
    </comment>
    <comment ref="E20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пятиугольник: h24, h18, h17; т.0 на h23–h24, h17–h23</t>
        </r>
      </text>
    </comment>
    <comment ref="A25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вершины на контуре: h1, h23, h22, h21, h20, h19, h13, h7</t>
        </r>
      </text>
    </comment>
    <comment ref="E25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  <comment ref="A26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вершины на контуре: h2, h3, h4, h5, h6, h12, h18, h24</t>
        </r>
      </text>
    </comment>
    <comment ref="E26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A6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пятиугольник: h1, h7, h8; т.0 на h1–h2, h2–h8</t>
        </r>
      </text>
    </comment>
    <comment ref="E6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треугольник: h2; т.0 на h2–h8, h1–h2</t>
        </r>
      </text>
    </comment>
    <comment ref="A7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треугольник: h8; т.0 на h2–h8, h8–h9</t>
        </r>
      </text>
    </comment>
    <comment ref="E7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пятиугольник: h9, h3, h2; т.0 на h8–h9, h2–h8</t>
        </r>
      </text>
    </comment>
    <comment ref="E8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квадрат: h9, h10, h4, h3</t>
        </r>
      </text>
    </comment>
    <comment ref="E9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квадрат: h10, h11, h5, h4</t>
        </r>
      </text>
    </comment>
    <comment ref="E10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квадрат: h11, h12, h6, h5</t>
        </r>
      </text>
    </comment>
    <comment ref="A11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квадрат: h13, h14, h8, h7</t>
        </r>
      </text>
    </comment>
    <comment ref="A12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пятиугольник: h8, h14, h15; т.0 на h8–h9, h9–h15</t>
        </r>
      </text>
    </comment>
    <comment ref="E12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треугольник: h9; т.0 на h9–h15, h8–h9</t>
        </r>
      </text>
    </comment>
    <comment ref="A13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треугольник: h15; т.0 на h9–h15, h15–h16</t>
        </r>
      </text>
    </comment>
    <comment ref="E13" authorId="0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пятиугольник: h16, h10, h9; т.0 на h15–h16, h9–h15</t>
        </r>
      </text>
    </comment>
    <comment ref="E14" authorId="0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квадрат: h16, h17, h11, h10</t>
        </r>
      </text>
    </comment>
    <comment ref="E15" authorId="0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квадрат: h17, h18, h12, h11</t>
        </r>
      </text>
    </comment>
    <comment ref="A16" authorId="0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квадрат: h19, h20, h14, h13</t>
        </r>
      </text>
    </comment>
    <comment ref="A17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квадрат: h20, h21, h15, h14</t>
        </r>
      </text>
    </comment>
    <comment ref="A18" authorId="0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пятиугольник: h15, h21, h22; т.0 на h15–h16, h16–h22</t>
        </r>
      </text>
    </comment>
    <comment ref="E18" authorId="0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треугольник: h16; т.0 на h16–h22, h15–h16</t>
        </r>
      </text>
    </comment>
    <comment ref="A19" authorId="0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трапеция: h22, h23; т.0 на h16–h22, h17–h23</t>
        </r>
      </text>
    </comment>
    <comment ref="E19" authorId="0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трапеция: h17, h16; т.0 на h17–h23, h16–h22</t>
        </r>
      </text>
    </comment>
    <comment ref="A20" authorId="0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треугольник: h23; т.0 на h17–h23, h23–h24</t>
        </r>
      </text>
    </comment>
    <comment ref="E20" authorId="0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пятиугольник: h24, h18, h17; т.0 на h23–h24, h17–h23</t>
        </r>
      </text>
    </comment>
    <comment ref="A25" authorId="0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вершины на контуре: h1, h23, h22, h21, h20, h19, h13, h7</t>
        </r>
      </text>
    </comment>
    <comment ref="E25" authorId="0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  <comment ref="A26" authorId="0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вершины на контуре: h2, h3, h4, h5, h6, h12, h18, h24</t>
        </r>
      </text>
    </comment>
    <comment ref="E26" authorId="0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</commentList>
</comments>
</file>

<file path=xl/sharedStrings.xml><?xml version="1.0" encoding="utf-8"?>
<sst xmlns="http://schemas.openxmlformats.org/spreadsheetml/2006/main" count="905" uniqueCount="299">
  <si>
    <t>Курсовая работа «Технологическая карта на производство земляных работ». Вариант 2</t>
  </si>
  <si>
    <t>Сторона квадрата сетки a, м</t>
  </si>
  <si>
    <t>Редактировать можно только синие ячейки (жёлтая — принятое допущение).</t>
  </si>
  <si>
    <t>Коэффициент остаточного разрыхления Kор</t>
  </si>
  <si>
    <t>Рабочая отметка h = Hкр − Hчёрн: «−» — выемка (ПВ), «+» — насыпь (ПН).</t>
  </si>
  <si>
    <t>Грунт</t>
  </si>
  <si>
    <t>супесь</t>
  </si>
  <si>
    <t>Отметки — вариант 2. Вершины нумеруются построчно слева направо, сверху вниз.</t>
  </si>
  <si>
    <t>Число квадратов</t>
  </si>
  <si>
    <t>Коэффициент первоначального разрыхления kр</t>
  </si>
  <si>
    <t>№ вершины</t>
  </si>
  <si>
    <t>h, м</t>
  </si>
  <si>
    <t>Схема сетки (вид в плане, квадрат 100×100 м)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</si>
  <si>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</si>
  <si>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</si>
  <si>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</si>
  <si>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</si>
  <si>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</si>
  <si>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</si>
  <si>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</si>
  <si>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</si>
  <si>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</si>
  <si>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</si>
  <si>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</si>
  <si>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</si>
  <si>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</si>
  <si>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</si>
  <si>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</si>
  <si>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</si>
  <si>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</si>
  <si>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</si>
  <si>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</si>
  <si>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</si>
  <si>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</si>
  <si>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</si>
  <si>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</si>
  <si>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</si>
  <si>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Точки нулевых работ на сторонах квадратов (черновик)</t>
  </si>
  <si>
    <t>x1 = a·|h1| / (|h1| + |h2|) — расстояние от вершины 1 до точки нуля;  x2 = a − x1</t>
  </si>
  <si>
    <t>№ т.0</t>
  </si>
  <si>
    <t>Сторона</t>
  </si>
  <si>
    <t>Вершина 1</t>
  </si>
  <si>
    <t>h1, м</t>
  </si>
  <si>
    <t>Вершина 2</t>
  </si>
  <si>
    <t>h2, м</t>
  </si>
  <si>
    <t>x1 (от верш. 1), м</t>
  </si>
  <si>
    <t>x2 (от верш. 2), м</t>
  </si>
  <si>
    <t>горизонтальная</t>
  </si>
  <si>
    <t>вертикальная</t>
  </si>
  <si>
    <t>Объёмы планировочных работ (метод квадратов), черновик</t>
  </si>
  <si>
    <t>Vi = Fi · hср,i;   hср,i = (|h1| + |h2| + … + |hn|) / n, в точках нуля h = 0</t>
  </si>
  <si>
    <t>Планировочная выемка (ПВ)</t>
  </si>
  <si>
    <t>Планировочная насыпь (ПН)</t>
  </si>
  <si>
    <t>№ фигуры</t>
  </si>
  <si>
    <t>Fi, м²</t>
  </si>
  <si>
    <t>hср, м</t>
  </si>
  <si>
    <t>Vi, м³</t>
  </si>
  <si>
    <t>Vгр = Vi / Kор, м³</t>
  </si>
  <si>
    <t>1</t>
  </si>
  <si>
    <t>1'</t>
  </si>
  <si>
    <t>2</t>
  </si>
  <si>
    <t>2'</t>
  </si>
  <si>
    <t>—</t>
  </si>
  <si>
    <t>3</t>
  </si>
  <si>
    <t>4</t>
  </si>
  <si>
    <t>5</t>
  </si>
  <si>
    <t>6</t>
  </si>
  <si>
    <t>7</t>
  </si>
  <si>
    <t>7'</t>
  </si>
  <si>
    <t>8</t>
  </si>
  <si>
    <t>8'</t>
  </si>
  <si>
    <t>9</t>
  </si>
  <si>
    <t>10</t>
  </si>
  <si>
    <t>11</t>
  </si>
  <si>
    <t>12</t>
  </si>
  <si>
    <t>13</t>
  </si>
  <si>
    <t>13'</t>
  </si>
  <si>
    <t>14</t>
  </si>
  <si>
    <t>14'</t>
  </si>
  <si>
    <t>15</t>
  </si>
  <si>
    <t>15'</t>
  </si>
  <si>
    <t>Σ</t>
  </si>
  <si>
    <t>Откосы по контуру площадки: ΣV = (Σh / n)² · Σl · m / 2  (с. 10 методички)</t>
  </si>
  <si>
    <t>Зона</t>
  </si>
  <si>
    <t>Σh, м</t>
  </si>
  <si>
    <t>n</t>
  </si>
  <si>
    <t>Σl, м</t>
  </si>
  <si>
    <t>m</t>
  </si>
  <si>
    <t>V, м³</t>
  </si>
  <si>
    <t>выемка</t>
  </si>
  <si>
    <t>насыпь</t>
  </si>
  <si>
    <t>Итого с откосами (ΣVв.геом, ΣVн.геом в табл. 2)</t>
  </si>
  <si>
    <t>Площадь ПВ + ПН, м² (проверка)</t>
  </si>
  <si>
    <t>Площадь площадки 5 × 3 × a², м²</t>
  </si>
  <si>
    <t>ΣVв.геом — выемка: фигуры + откосы, м³</t>
  </si>
  <si>
    <t>ΣVн.геом — насыпь: фигуры + откосы, м³</t>
  </si>
  <si>
    <t>ΣVн.геом / Kор — грунта в плотном теле на насыпь, м³</t>
  </si>
  <si>
    <t>Котлован по черновику: контуры, размеры, объём (п. 2.2.2 методички)</t>
  </si>
  <si>
    <t>Задание 4, вариант 2 — только габариты; грунт — супесь. Здание — вариант размещения 8: центр здания в центре квадрата 8.</t>
  </si>
  <si>
    <t>Параметр</t>
  </si>
  <si>
    <t>Обозн.</t>
  </si>
  <si>
    <t>Значение</t>
  </si>
  <si>
    <t>Ед.</t>
  </si>
  <si>
    <t>Формула / источник</t>
  </si>
  <si>
    <t>Исходные данные — Задание 4, вариант 2</t>
  </si>
  <si>
    <t>Глубина котлована по заданию (от планировочной отметки)</t>
  </si>
  <si>
    <t>Нк</t>
  </si>
  <si>
    <t>м</t>
  </si>
  <si>
    <t>Высота фундаментной плиты</t>
  </si>
  <si>
    <t>Нф.п</t>
  </si>
  <si>
    <t>Толщина бетонной подготовки</t>
  </si>
  <si>
    <t>hб.п</t>
  </si>
  <si>
    <t>Толщина подсыпки (щебень)</t>
  </si>
  <si>
    <t>hподс</t>
  </si>
  <si>
    <t>Толщина растительного слоя</t>
  </si>
  <si>
    <t>hр.сл</t>
  </si>
  <si>
    <t>методичка, с. 11: 200 мм</t>
  </si>
  <si>
    <t>Толщина стены подвала (по оси)</t>
  </si>
  <si>
    <t>Bп</t>
  </si>
  <si>
    <t>схема размещения фундамента</t>
  </si>
  <si>
    <t>Вылет плиты за наружную грань стены</t>
  </si>
  <si>
    <t>схема: 500</t>
  </si>
  <si>
    <t>Выход бетонной подготовки за плиту</t>
  </si>
  <si>
    <t>схема: 200; методичка — не менее 0,2</t>
  </si>
  <si>
    <t>От края подготовки до низа откоса</t>
  </si>
  <si>
    <t>Длина здания по осям</t>
  </si>
  <si>
    <t>Ширина здания по осям</t>
  </si>
  <si>
    <t>Вырез (правый нижний угол): длина</t>
  </si>
  <si>
    <t>Вырез: ширина</t>
  </si>
  <si>
    <t>Левый нижний угол квадрата 8: x</t>
  </si>
  <si>
    <t>Левый нижний угол квадрата 8: y</t>
  </si>
  <si>
    <t>Левая ось здания (центр в центре квадрата 8)</t>
  </si>
  <si>
    <t>X0</t>
  </si>
  <si>
    <t>Нижняя ось здания</t>
  </si>
  <si>
    <t>Y0</t>
  </si>
  <si>
    <t>Привязки от осей здания</t>
  </si>
  <si>
    <t>Ось → наружная грань стены</t>
  </si>
  <si>
    <t>Ось → край фундаментной плиты</t>
  </si>
  <si>
    <t>A</t>
  </si>
  <si>
    <t>Ось → край бетонной подготовки</t>
  </si>
  <si>
    <t>Ось → низ откоса (подошва котлована)</t>
  </si>
  <si>
    <t>Рабочая зона от плиты до откоса</t>
  </si>
  <si>
    <t>C</t>
  </si>
  <si>
    <t>не менее 0,6 м</t>
  </si>
  <si>
    <t>Положение котлована относительно ЛНР</t>
  </si>
  <si>
    <t>Крутизна откоса при Нк (предварительно)</t>
  </si>
  <si>
    <t>m0</t>
  </si>
  <si>
    <t>прил. 3, супесь: до 1,5 — 0,25; до 3 — 0,67; до 5 — 0,85</t>
  </si>
  <si>
    <t>Ось → бровка (предварительно)</t>
  </si>
  <si>
    <t>Среднее рабочих отметок по углам котлована</t>
  </si>
  <si>
    <t>hср.углов</t>
  </si>
  <si>
    <t>таблица углов ниже; «+» — насыпь</t>
  </si>
  <si>
    <t>Котлован в зоне</t>
  </si>
  <si>
    <t>ЛНР пересекает котлован — по среднему</t>
  </si>
  <si>
    <t>Рабочая отметка в центре котлована (центр квадрата 8)</t>
  </si>
  <si>
    <t>hр</t>
  </si>
  <si>
    <t>билинейно; в центре квадрата = среднее h9, h10, h15, h16</t>
  </si>
  <si>
    <t>Фактическая глубина котлована</t>
  </si>
  <si>
    <t>hк</t>
  </si>
  <si>
    <t>hк = Нк − hр.сл − hр (с. 11; hр — только в насыпи)</t>
  </si>
  <si>
    <t>Откосы и контуры</t>
  </si>
  <si>
    <t>Коэффициент откоса (супесь)</t>
  </si>
  <si>
    <t>прил. 3</t>
  </si>
  <si>
    <t>Заложение откоса</t>
  </si>
  <si>
    <t>l</t>
  </si>
  <si>
    <t>l = hк · m</t>
  </si>
  <si>
    <t>Низ котлована: длина</t>
  </si>
  <si>
    <t>Низ котлована: ширина</t>
  </si>
  <si>
    <t>Площадь по низу</t>
  </si>
  <si>
    <t>Fк.н</t>
  </si>
  <si>
    <t>м²</t>
  </si>
  <si>
    <t>Г-образный контур: L·B − вырез 42 × 12</t>
  </si>
  <si>
    <t>Верх котлована: длина</t>
  </si>
  <si>
    <t>Верх котлована: ширина</t>
  </si>
  <si>
    <t>Площадь по верху</t>
  </si>
  <si>
    <t>Fк.в</t>
  </si>
  <si>
    <t>Площадь по наружному контуру стен</t>
  </si>
  <si>
    <t>Fк.с.п</t>
  </si>
  <si>
    <t>Площадь фундаментной плиты</t>
  </si>
  <si>
    <t>Fф.п</t>
  </si>
  <si>
    <t>Площадь бетонной подготовки</t>
  </si>
  <si>
    <t>Fб.п</t>
  </si>
  <si>
    <t>Пандус (принято: однополосный въезд автосамосвалов)</t>
  </si>
  <si>
    <t>Ширина пандуса</t>
  </si>
  <si>
    <t>bп</t>
  </si>
  <si>
    <t>3 м — один проезд, 6 м — два</t>
  </si>
  <si>
    <t>Уклон пандуса</t>
  </si>
  <si>
    <t>i</t>
  </si>
  <si>
    <t>0,10–0,15 при вывозе самосвалами</t>
  </si>
  <si>
    <t>Коэффициент заложения пандуса</t>
  </si>
  <si>
    <t>n = 1 / i</t>
  </si>
  <si>
    <t>Длина пандуса в плане</t>
  </si>
  <si>
    <t>Объём пандуса</t>
  </si>
  <si>
    <t>Vпан</t>
  </si>
  <si>
    <t>м³</t>
  </si>
  <si>
    <t>n·(bп·hк²/2 + m·hк³/3)</t>
  </si>
  <si>
    <t>Объёмы</t>
  </si>
  <si>
    <t>Котлован без пандуса</t>
  </si>
  <si>
    <t>hк/3·(Fк.н + Fк.в + √(Fк.н·Fк.в))</t>
  </si>
  <si>
    <t>Объём котлована</t>
  </si>
  <si>
    <t>Vк</t>
  </si>
  <si>
    <t>Подсыпка</t>
  </si>
  <si>
    <t>Vподс</t>
  </si>
  <si>
    <t>Fк.н · hподс</t>
  </si>
  <si>
    <t>Бетонная подготовка</t>
  </si>
  <si>
    <t>Vб.п</t>
  </si>
  <si>
    <t>Fб.п · hб.п</t>
  </si>
  <si>
    <t>Гидроизоляция</t>
  </si>
  <si>
    <t>Vг.и</t>
  </si>
  <si>
    <t>2 слоя рулонной, толщина в задании не дана</t>
  </si>
  <si>
    <t>Защитная стяжка</t>
  </si>
  <si>
    <t>Vст</t>
  </si>
  <si>
    <t>в задании нет</t>
  </si>
  <si>
    <t>Фундаментная плита</t>
  </si>
  <si>
    <t>Vф.п</t>
  </si>
  <si>
    <t>Fф.п · Нф.п</t>
  </si>
  <si>
    <t>Высота стен ниже естественной поверхности</t>
  </si>
  <si>
    <t>Нп − |hгр| − hр.сл − hр = hк − Нф.п − hб.п − hподс</t>
  </si>
  <si>
    <t>Стены подвала по наружному контуру</t>
  </si>
  <si>
    <t>Vк.с.п</t>
  </si>
  <si>
    <t>Подземная часть здания</t>
  </si>
  <si>
    <t>Vп.ч</t>
  </si>
  <si>
    <t>Vф.п + Vк.с.п</t>
  </si>
  <si>
    <t>Обратная засыпка</t>
  </si>
  <si>
    <t>Vо.з</t>
  </si>
  <si>
    <t>Vк − Vп.ч − Vподс − Vб.п − Vг.и − Vст</t>
  </si>
  <si>
    <t>Рабочие отметки по углам котлована (бровка при Нк), билинейная интерполяция в квадрате 8</t>
  </si>
  <si>
    <t>Угол</t>
  </si>
  <si>
    <t>x отн. осей</t>
  </si>
  <si>
    <t>y отн. осей</t>
  </si>
  <si>
    <t>X, м</t>
  </si>
  <si>
    <t>Y, м</t>
  </si>
  <si>
    <t>u</t>
  </si>
  <si>
    <t>v</t>
  </si>
  <si>
    <t>Вершины квадрата 8: h15 — левый нижний, h16 — правый нижний, h9 — левый верхний, h10 — правый верхний.</t>
  </si>
  <si>
    <t>Сводная ведомость объёмов разрабатываемого грунта (табл. 2)</t>
  </si>
  <si>
    <t>По черновику — до корректировки средней отметки планировки</t>
  </si>
  <si>
    <t>№</t>
  </si>
  <si>
    <t>Вид работы</t>
  </si>
  <si>
    <t>Выемка Vв, м³</t>
  </si>
  <si>
    <t>Насыпь Vн, м³</t>
  </si>
  <si>
    <t>Vн / Kор, м³</t>
  </si>
  <si>
    <t>В призмах (планировка с откосами)</t>
  </si>
  <si>
    <t>В котловане (Vк; обратная засыпка Vо.з)</t>
  </si>
  <si>
    <t>Суммарные объёмы</t>
  </si>
  <si>
    <t>Баланс Vв − Vн/Kор («−» — грунта не хватает)</t>
  </si>
  <si>
    <t>Расхождение, % (допускается не более 5 %)</t>
  </si>
  <si>
    <t>Вывод</t>
  </si>
  <si>
    <t>Площадь площадки Fпл без котлована по верху (котлован в насыпи), м²</t>
  </si>
  <si>
    <t>Поправка Δh = (Vв − Vн/Kор) / Fпл, м («−» — понижение)</t>
  </si>
  <si>
    <t>Δh, принятое (до 0,0001 м)</t>
  </si>
  <si>
    <t>Окончательные рабочие отметки: h' = h + Δh (п. 2.2.3 методички)</t>
  </si>
  <si>
    <t>Поправка Δh, м</t>
  </si>
  <si>
    <t>Δh, м</t>
  </si>
  <si>
    <t>h' = h + Δh, м</t>
  </si>
  <si>
    <t>Схема сетки (вид в плане)</t>
  </si>
  <si>
    <t>Точки нулевых работ по окончательным отметкам</t>
  </si>
  <si>
    <t>Объёмы планировочных работ по окончательным отметкам</t>
  </si>
  <si>
    <t>Котлован по окончательным отметкам (котлован в насыпи — пересчёт)</t>
  </si>
  <si>
    <t>По окончательным отметкам — после поправки Δh</t>
  </si>
  <si>
    <t>Ведомость объёмов грунта в котловане (табл. 3 методички), по окончательным отметкам</t>
  </si>
  <si>
    <t>Баланс отрицательный - лишнего грунта нет (Vлиш.гр = 0), недостача восполняется из карьера.</t>
  </si>
  <si>
    <t>Место разработки / назначение</t>
  </si>
  <si>
    <t>V в плотном теле, м³</t>
  </si>
  <si>
    <t>V с kр, м³</t>
  </si>
  <si>
    <t>Место укладки</t>
  </si>
  <si>
    <t>V с kо.р, м³</t>
  </si>
  <si>
    <t>Котлован: разрабатываемый грунт</t>
  </si>
  <si>
    <t>Насыпь</t>
  </si>
  <si>
    <t>Вывоз</t>
  </si>
  <si>
    <t>Отвал</t>
  </si>
  <si>
    <t>Карьер: щебень для подсыпки</t>
  </si>
  <si>
    <t>Котлован: подсыпка</t>
  </si>
  <si>
    <t>Отвал: грунт обратной засыпки</t>
  </si>
  <si>
    <t>Vлиш.гр - лишний грунт, м³ (баланс отрицательный)</t>
  </si>
  <si>
    <t>Баланс распределения земляных масс (табл. 4 методички): из выемок и котлована в насыпь, м³</t>
  </si>
  <si>
    <t>Минимум моментов V·l (l - между центрами тяжести фигур): сначала выемки (ЗТМ), затем котлован (самосвалы); остаток - недостача, подвоз из карьера. Выемка - плотное тело, насыпь - Vн / kо.р.</t>
  </si>
  <si>
    <t>Выемка</t>
  </si>
  <si>
    <t>Котлован</t>
  </si>
  <si>
    <t>Недостача</t>
  </si>
  <si>
    <t>Объём</t>
  </si>
  <si>
    <t>Насыпь №</t>
  </si>
  <si>
    <t>Проверка: Σ по строке − объём</t>
  </si>
  <si>
    <t>Проверка: Σ по столбцу − объём</t>
  </si>
  <si>
    <t>Средняя дальность перемещения грунта скрепером (бульдозером): выемка — насыпь (табл. 5)</t>
  </si>
  <si>
    <t>№ фигур</t>
  </si>
  <si>
    <t>x, м</t>
  </si>
  <si>
    <t>y, м</t>
  </si>
  <si>
    <t>Mx = x·V</t>
  </si>
  <si>
    <t>My = y·V</t>
  </si>
  <si>
    <t>Центр тяжести «Выемка»: Lx = ΣMx / ΣV, м</t>
  </si>
  <si>
    <t>Центр тяжести «Выемка»: Ly = ΣMy / ΣV, м</t>
  </si>
  <si>
    <t>Центр тяжести «Насыпь»: Lx, м</t>
  </si>
  <si>
    <t>Центр тяжести «Насыпь»: Ly, м</t>
  </si>
  <si>
    <t>Средняя дальность Lср = √((Lxв − Lxн)² + (Lyв − Lyн)²), м</t>
  </si>
  <si>
    <t>Средняя дальность перемещения грунта автосамосвалом: котлован — насыпь (табл. 6)</t>
  </si>
  <si>
    <t>котлован</t>
  </si>
  <si>
    <t>Центр тяжести «Котлован»: Lx = ΣMx / ΣV, м</t>
  </si>
  <si>
    <t>Центр тяжести «Котлован»: Ly = ΣMy / ΣV, 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</si>
</sst>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"/>
    <numFmt numFmtId="167" formatCode="0.000000"/>
  </numFmts>
  <fonts count="10" x14ac:knownFonts="1">
    <font>
      <sz val="11"/>
      <color theme="1"/>
      <name val="Calibri"/>
      <family val="2"/>
      <scheme val="minor"/>
    </font>
    <font>
      <b/>
      <sz val="14"/>
      <name val="GOST type B"/>
    </font>
    <font>
      <sz val="12"/>
      <name val="GOST type B"/>
    </font>
    <font>
      <sz val="12"/>
      <color rgb="FF0000FF"/>
      <name val="GOST type B"/>
    </font>
    <font>
      <i/>
      <sz val="11"/>
      <name val="GOST type B"/>
    </font>
    <font>
      <b/>
      <sz val="12"/>
      <name val="GOST type B"/>
    </font>
    <font>
      <sz val="9"/>
      <color rgb="FF808080"/>
      <name val="GOST type B"/>
    </font>
    <font>
      <i/>
      <sz val="12"/>
      <name val="GOST type B"/>
    </font>
    <font>
      <sz val="12"/>
      <color rgb="FF008000"/>
      <name val="GOST type B"/>
    </font>
    <font>
      <i/>
      <sz val="10"/>
      <name val="GOST type B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DDEBF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2" fontId="3" fillId="2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0" borderId="0" xfId="0" applyFont="1"/>
    <xf numFmtId="0" fontId="2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7" fillId="0" borderId="0" xfId="0" applyFont="1"/>
    <xf numFmtId="164" fontId="8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0" fontId="9" fillId="0" borderId="0" xfId="0" applyFont="1"/>
    <xf numFmtId="2" fontId="8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167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/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0" fontId="0" fillId="0" borderId="2" xfId="0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2"/>
  <sheetViews>
    <sheetView tabSelected="1" zoomScale="110" workbookViewId="0"/>
  </sheetViews>
  <sheetFormatPr defaultRowHeight="14.4" x14ac:dyDescent="0.3"/>
  <cols>
    <col min="1" max="1" width="44" customWidth="1"/>
    <col min="2" max="2" width="10" customWidth="1"/>
    <col min="4" max="9" width="9" customWidth="1"/>
  </cols>
  <sheetData>
    <row r="1" spans="1:9" ht="17.399999999999999" x14ac:dyDescent="0.3">
      <c r="A1" s="1" t="s">
        <v>0</v>
      </c>
    </row>
    <row r="3" spans="1:9" ht="15.6" x14ac:dyDescent="0.3">
      <c r="A3" s="2" t="s">
        <v>1</v>
      </c>
      <c r="B3" s="3">
        <v>100</v>
      </c>
      <c r="D3" s="4" t="s">
        <v>2</v>
      </c>
    </row>
    <row r="4" spans="1:9" ht="31.2" x14ac:dyDescent="0.3">
      <c r="A4" s="2" t="s">
        <v>3</v>
      </c>
      <c r="B4" s="5">
        <v>1.04</v>
      </c>
      <c r="D4" s="4" t="s">
        <v>4</v>
      </c>
    </row>
    <row r="5" spans="1:9" ht="15.6" x14ac:dyDescent="0.3">
      <c r="A5" s="2" t="s">
        <v>5</v>
      </c>
      <c r="B5" s="3" t="s">
        <v>6</v>
      </c>
      <c r="D5" s="4" t="s">
        <v>7</v>
      </c>
    </row>
    <row r="6" spans="1:9" ht="15.6" x14ac:dyDescent="0.3">
      <c r="A6" s="2" t="s">
        <v>8</v>
      </c>
      <c r="B6" s="3">
        <v>15</v>
      </c>
    </row>
    <row r="7" spans="1:9" ht="31.2" x14ac:dyDescent="0.3">
      <c r="A7" s="2" t="s">
        <v>9</v>
      </c>
      <c r="B7" s="5">
        <v>1.1499999999999999</v>
      </c>
    </row>
    <row r="8" spans="1:9" ht="15.6" x14ac:dyDescent="0.3">
      <c r="A8" s="6" t="s">
        <v>10</v>
      </c>
      <c r="B8" s="6" t="s">
        <v>11</v>
      </c>
      <c r="D8" s="7" t="s">
        <v>12</v>
      </c>
    </row>
    <row r="9" spans="1:9" ht="15.6" x14ac:dyDescent="0.3">
      <c r="A9" s="8" t="s">
        <v>13</v>
      </c>
      <c r="B9" s="9">
        <v>-0.25</v>
      </c>
      <c r="D9" s="10" t="s">
        <v>13</v>
      </c>
      <c r="E9" s="10" t="s">
        <v>14</v>
      </c>
      <c r="F9" s="10" t="s">
        <v>15</v>
      </c>
      <c r="G9" s="10" t="s">
        <v>16</v>
      </c>
      <c r="H9" s="10" t="s">
        <v>17</v>
      </c>
      <c r="I9" s="10" t="s">
        <v>18</v>
      </c>
    </row>
    <row r="10" spans="1:9" ht="15.6" x14ac:dyDescent="0.3">
      <c r="A10" s="8" t="s">
        <v>14</v>
      </c>
      <c r="B10" s="9">
        <v>0.15</v>
      </c>
      <c r="D10" s="11">
        <f>B9</f>
        <v>-0.25</v>
      </c>
      <c r="E10" s="11">
        <f>B10</f>
        <v>0.15</v>
      </c>
      <c r="F10" s="11">
        <f>B11</f>
        <v>0.34</v>
      </c>
      <c r="G10" s="11">
        <f>B12</f>
        <v>0.47</v>
      </c>
      <c r="H10" s="11">
        <f>B13</f>
        <v>0.66</v>
      </c>
      <c r="I10" s="11">
        <f>B14</f>
        <v>0.85</v>
      </c>
    </row>
    <row r="11" spans="1:9" ht="15.6" x14ac:dyDescent="0.3">
      <c r="A11" s="8" t="s">
        <v>15</v>
      </c>
      <c r="B11" s="9">
        <v>0.34</v>
      </c>
      <c r="D11" s="10" t="s">
        <v>19</v>
      </c>
      <c r="E11" s="10" t="s">
        <v>20</v>
      </c>
      <c r="F11" s="10" t="s">
        <v>21</v>
      </c>
      <c r="G11" s="10" t="s">
        <v>22</v>
      </c>
      <c r="H11" s="10" t="s">
        <v>23</v>
      </c>
      <c r="I11" s="10" t="s">
        <v>24</v>
      </c>
    </row>
    <row r="12" spans="1:9" ht="15.6" x14ac:dyDescent="0.3">
      <c r="A12" s="8" t="s">
        <v>16</v>
      </c>
      <c r="B12" s="9">
        <v>0.47</v>
      </c>
      <c r="D12" s="11">
        <f>B15</f>
        <v>-0.49</v>
      </c>
      <c r="E12" s="11">
        <f>B16</f>
        <v>-0.31</v>
      </c>
      <c r="F12" s="11">
        <f>B17</f>
        <v>0.28000000000000003</v>
      </c>
      <c r="G12" s="11">
        <f>B18</f>
        <v>0.52</v>
      </c>
      <c r="H12" s="11">
        <f>B19</f>
        <v>0.84</v>
      </c>
      <c r="I12" s="11">
        <f>B20</f>
        <v>0.47</v>
      </c>
    </row>
    <row r="13" spans="1:9" ht="15.6" x14ac:dyDescent="0.3">
      <c r="A13" s="8" t="s">
        <v>17</v>
      </c>
      <c r="B13" s="9">
        <v>0.66</v>
      </c>
      <c r="D13" s="10" t="s">
        <v>25</v>
      </c>
      <c r="E13" s="10" t="s">
        <v>26</v>
      </c>
      <c r="F13" s="10" t="s">
        <v>27</v>
      </c>
      <c r="G13" s="10" t="s">
        <v>28</v>
      </c>
      <c r="H13" s="10" t="s">
        <v>29</v>
      </c>
      <c r="I13" s="10" t="s">
        <v>30</v>
      </c>
    </row>
    <row r="14" spans="1:9" ht="15.6" x14ac:dyDescent="0.3">
      <c r="A14" s="8" t="s">
        <v>18</v>
      </c>
      <c r="B14" s="9">
        <v>0.85</v>
      </c>
      <c r="D14" s="11">
        <f>B21</f>
        <v>-0.24</v>
      </c>
      <c r="E14" s="11">
        <f>B22</f>
        <v>-0.43</v>
      </c>
      <c r="F14" s="11">
        <f>B23</f>
        <v>-0.28000000000000003</v>
      </c>
      <c r="G14" s="11">
        <f>B24</f>
        <v>0.14000000000000001</v>
      </c>
      <c r="H14" s="11">
        <f>B25</f>
        <v>0.36</v>
      </c>
      <c r="I14" s="11">
        <f>B26</f>
        <v>0.76</v>
      </c>
    </row>
    <row r="15" spans="1:9" ht="15.6" x14ac:dyDescent="0.3">
      <c r="A15" s="8" t="s">
        <v>19</v>
      </c>
      <c r="B15" s="9">
        <v>-0.49</v>
      </c>
      <c r="D15" s="10" t="s">
        <v>31</v>
      </c>
      <c r="E15" s="10" t="s">
        <v>32</v>
      </c>
      <c r="F15" s="10" t="s">
        <v>33</v>
      </c>
      <c r="G15" s="10" t="s">
        <v>34</v>
      </c>
      <c r="H15" s="10" t="s">
        <v>35</v>
      </c>
      <c r="I15" s="10" t="s">
        <v>36</v>
      </c>
    </row>
    <row r="16" spans="1:9" ht="15.6" x14ac:dyDescent="0.3">
      <c r="A16" s="8" t="s">
        <v>20</v>
      </c>
      <c r="B16" s="9">
        <v>-0.31</v>
      </c>
      <c r="D16" s="11">
        <f>B27</f>
        <v>-0.4</v>
      </c>
      <c r="E16" s="11">
        <f>B28</f>
        <v>-0.65</v>
      </c>
      <c r="F16" s="11">
        <f>B29</f>
        <v>-0.52</v>
      </c>
      <c r="G16" s="11">
        <f>B30</f>
        <v>-0.28000000000000003</v>
      </c>
      <c r="H16" s="11">
        <f>B31</f>
        <v>-0.43</v>
      </c>
      <c r="I16" s="11">
        <f>B32</f>
        <v>0.14000000000000001</v>
      </c>
    </row>
    <row r="17" spans="1:2" ht="15.6" x14ac:dyDescent="0.3">
      <c r="A17" s="8" t="s">
        <v>21</v>
      </c>
      <c r="B17" s="9">
        <v>0.28000000000000003</v>
      </c>
    </row>
    <row r="18" spans="1:2" ht="15.6" x14ac:dyDescent="0.3">
      <c r="A18" s="8" t="s">
        <v>22</v>
      </c>
      <c r="B18" s="9">
        <v>0.52</v>
      </c>
    </row>
    <row r="19" spans="1:2" ht="15.6" x14ac:dyDescent="0.3">
      <c r="A19" s="8" t="s">
        <v>23</v>
      </c>
      <c r="B19" s="9">
        <v>0.84</v>
      </c>
    </row>
    <row r="20" spans="1:2" ht="15.6" x14ac:dyDescent="0.3">
      <c r="A20" s="8" t="s">
        <v>24</v>
      </c>
      <c r="B20" s="9">
        <v>0.47</v>
      </c>
    </row>
    <row r="21" spans="1:2" ht="15.6" x14ac:dyDescent="0.3">
      <c r="A21" s="8" t="s">
        <v>25</v>
      </c>
      <c r="B21" s="9">
        <v>-0.24</v>
      </c>
    </row>
    <row r="22" spans="1:2" ht="15.6" x14ac:dyDescent="0.3">
      <c r="A22" s="8" t="s">
        <v>26</v>
      </c>
      <c r="B22" s="9">
        <v>-0.43</v>
      </c>
    </row>
    <row r="23" spans="1:2" ht="15.6" x14ac:dyDescent="0.3">
      <c r="A23" s="8" t="s">
        <v>27</v>
      </c>
      <c r="B23" s="9">
        <v>-0.28000000000000003</v>
      </c>
    </row>
    <row r="24" spans="1:2" ht="15.6" x14ac:dyDescent="0.3">
      <c r="A24" s="8" t="s">
        <v>28</v>
      </c>
      <c r="B24" s="9">
        <v>0.14000000000000001</v>
      </c>
    </row>
    <row r="25" spans="1:2" ht="15.6" x14ac:dyDescent="0.3">
      <c r="A25" s="8" t="s">
        <v>29</v>
      </c>
      <c r="B25" s="9">
        <v>0.36</v>
      </c>
    </row>
    <row r="26" spans="1:2" ht="15.6" x14ac:dyDescent="0.3">
      <c r="A26" s="8" t="s">
        <v>30</v>
      </c>
      <c r="B26" s="9">
        <v>0.76</v>
      </c>
    </row>
    <row r="27" spans="1:2" ht="15.6" x14ac:dyDescent="0.3">
      <c r="A27" s="8" t="s">
        <v>31</v>
      </c>
      <c r="B27" s="9">
        <v>-0.4</v>
      </c>
    </row>
    <row r="28" spans="1:2" ht="15.6" x14ac:dyDescent="0.3">
      <c r="A28" s="8" t="s">
        <v>32</v>
      </c>
      <c r="B28" s="9">
        <v>-0.65</v>
      </c>
    </row>
    <row r="29" spans="1:2" ht="15.6" x14ac:dyDescent="0.3">
      <c r="A29" s="8" t="s">
        <v>33</v>
      </c>
      <c r="B29" s="9">
        <v>-0.52</v>
      </c>
    </row>
    <row r="30" spans="1:2" ht="15.6" x14ac:dyDescent="0.3">
      <c r="A30" s="8" t="s">
        <v>34</v>
      </c>
      <c r="B30" s="9">
        <v>-0.28000000000000003</v>
      </c>
    </row>
    <row r="31" spans="1:2" ht="15.6" x14ac:dyDescent="0.3">
      <c r="A31" s="8" t="s">
        <v>35</v>
      </c>
      <c r="B31" s="9">
        <v>-0.43</v>
      </c>
    </row>
    <row r="32" spans="1:2" ht="15.6" x14ac:dyDescent="0.3">
      <c r="A32" s="8" t="s">
        <v>36</v>
      </c>
      <c r="B32" s="9">
        <v>0.14000000000000001</v>
      </c>
    </row>
  </sheetData>
  <pageMargins left="0.75" right="0.75" top="1" bottom="1" header="0.5" footer="0.5"/>
  <pageSetup paperSize="9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12"/>
  <sheetViews>
    <sheetView zoomScale="110" workbookViewId="0"/>
  </sheetViews>
  <sheetFormatPr defaultRowHeight="14.4" x14ac:dyDescent="0.3"/>
  <cols>
    <col min="1" max="1" width="7" customWidth="1"/>
    <col min="2" max="2" width="16" customWidth="1"/>
    <col min="3" max="3" width="11" customWidth="1"/>
    <col min="4" max="4" width="10" customWidth="1"/>
    <col min="5" max="5" width="11" customWidth="1"/>
    <col min="6" max="6" width="10" customWidth="1"/>
    <col min="7" max="8" width="18" customWidth="1"/>
  </cols>
  <sheetData>
    <row r="1" spans="1:8" ht="17.399999999999999" x14ac:dyDescent="0.3">
      <c r="A1" s="1" t="s">
        <v>37</v>
      </c>
    </row>
    <row r="2" spans="1:8" ht="15.6" x14ac:dyDescent="0.3">
      <c r="A2" s="12" t="s">
        <v>38</v>
      </c>
    </row>
    <row r="4" spans="1:8" ht="31.2" x14ac:dyDescent="0.3">
      <c r="A4" s="6" t="s">
        <v>39</v>
      </c>
      <c r="B4" s="6" t="s">
        <v>40</v>
      </c>
      <c r="C4" s="6" t="s">
        <v>41</v>
      </c>
      <c r="D4" s="6" t="s">
        <v>42</v>
      </c>
      <c r="E4" s="6" t="s">
        <v>43</v>
      </c>
      <c r="F4" s="6" t="s">
        <v>44</v>
      </c>
      <c r="G4" s="6" t="s">
        <v>45</v>
      </c>
      <c r="H4" s="6" t="s">
        <v>46</v>
      </c>
    </row>
    <row r="5" spans="1:8" ht="31.2" x14ac:dyDescent="0.3">
      <c r="A5" s="8">
        <v>1</v>
      </c>
      <c r="B5" s="8" t="s">
        <v>47</v>
      </c>
      <c r="C5" s="8" t="s">
        <v>13</v>
      </c>
      <c r="D5" s="13">
        <f>'Исходные данные'!$B$9</f>
        <v>-0.25</v>
      </c>
      <c r="E5" s="8" t="s">
        <v>14</v>
      </c>
      <c r="F5" s="13">
        <f>'Исходные данные'!$B$10</f>
        <v>0.15</v>
      </c>
      <c r="G5" s="11">
        <f>'Исходные данные'!$B$3*ABS(D5)/(ABS(D5)+ABS(F5))</f>
        <v>62.5</v>
      </c>
      <c r="H5" s="11">
        <f>'Исходные данные'!$B$3-G5</f>
        <v>37.5</v>
      </c>
    </row>
    <row r="6" spans="1:8" ht="15.6" x14ac:dyDescent="0.3">
      <c r="A6" s="8">
        <v>2</v>
      </c>
      <c r="B6" s="8" t="s">
        <v>48</v>
      </c>
      <c r="C6" s="8" t="s">
        <v>14</v>
      </c>
      <c r="D6" s="13">
        <f>'Исходные данные'!$B$10</f>
        <v>0.15</v>
      </c>
      <c r="E6" s="8" t="s">
        <v>20</v>
      </c>
      <c r="F6" s="13">
        <f>'Исходные данные'!$B$16</f>
        <v>-0.31</v>
      </c>
      <c r="G6" s="11">
        <f>'Исходные данные'!$B$3*ABS(D6)/(ABS(D6)+ABS(F6))</f>
        <v>32.608695652173914</v>
      </c>
      <c r="H6" s="11">
        <f>'Исходные данные'!$B$3-G6</f>
        <v>67.391304347826093</v>
      </c>
    </row>
    <row r="7" spans="1:8" ht="31.2" x14ac:dyDescent="0.3">
      <c r="A7" s="8">
        <v>3</v>
      </c>
      <c r="B7" s="8" t="s">
        <v>47</v>
      </c>
      <c r="C7" s="8" t="s">
        <v>20</v>
      </c>
      <c r="D7" s="13">
        <f>'Исходные данные'!$B$16</f>
        <v>-0.31</v>
      </c>
      <c r="E7" s="8" t="s">
        <v>21</v>
      </c>
      <c r="F7" s="13">
        <f>'Исходные данные'!$B$17</f>
        <v>0.28000000000000003</v>
      </c>
      <c r="G7" s="11">
        <f>'Исходные данные'!$B$3*ABS(D7)/(ABS(D7)+ABS(F7))</f>
        <v>52.542372881355924</v>
      </c>
      <c r="H7" s="11">
        <f>'Исходные данные'!$B$3-G7</f>
        <v>47.457627118644076</v>
      </c>
    </row>
    <row r="8" spans="1:8" ht="15.6" x14ac:dyDescent="0.3">
      <c r="A8" s="8">
        <v>4</v>
      </c>
      <c r="B8" s="8" t="s">
        <v>48</v>
      </c>
      <c r="C8" s="8" t="s">
        <v>21</v>
      </c>
      <c r="D8" s="13">
        <f>'Исходные данные'!$B$17</f>
        <v>0.28000000000000003</v>
      </c>
      <c r="E8" s="8" t="s">
        <v>27</v>
      </c>
      <c r="F8" s="13">
        <f>'Исходные данные'!$B$23</f>
        <v>-0.28000000000000003</v>
      </c>
      <c r="G8" s="11">
        <f>'Исходные данные'!$B$3*ABS(D8)/(ABS(D8)+ABS(F8))</f>
        <v>50</v>
      </c>
      <c r="H8" s="11">
        <f>'Исходные данные'!$B$3-G8</f>
        <v>50</v>
      </c>
    </row>
    <row r="9" spans="1:8" ht="31.2" x14ac:dyDescent="0.3">
      <c r="A9" s="8">
        <v>5</v>
      </c>
      <c r="B9" s="8" t="s">
        <v>47</v>
      </c>
      <c r="C9" s="8" t="s">
        <v>27</v>
      </c>
      <c r="D9" s="13">
        <f>'Исходные данные'!$B$23</f>
        <v>-0.28000000000000003</v>
      </c>
      <c r="E9" s="8" t="s">
        <v>28</v>
      </c>
      <c r="F9" s="13">
        <f>'Исходные данные'!$B$24</f>
        <v>0.14000000000000001</v>
      </c>
      <c r="G9" s="11">
        <f>'Исходные данные'!$B$3*ABS(D9)/(ABS(D9)+ABS(F9))</f>
        <v>66.666666666666671</v>
      </c>
      <c r="H9" s="11">
        <f>'Исходные данные'!$B$3-G9</f>
        <v>33.333333333333329</v>
      </c>
    </row>
    <row r="10" spans="1:8" ht="15.6" x14ac:dyDescent="0.3">
      <c r="A10" s="8">
        <v>6</v>
      </c>
      <c r="B10" s="8" t="s">
        <v>48</v>
      </c>
      <c r="C10" s="8" t="s">
        <v>28</v>
      </c>
      <c r="D10" s="13">
        <f>'Исходные данные'!$B$24</f>
        <v>0.14000000000000001</v>
      </c>
      <c r="E10" s="8" t="s">
        <v>34</v>
      </c>
      <c r="F10" s="13">
        <f>'Исходные данные'!$B$30</f>
        <v>-0.28000000000000003</v>
      </c>
      <c r="G10" s="11">
        <f>'Исходные данные'!$B$3*ABS(D10)/(ABS(D10)+ABS(F10))</f>
        <v>33.333333333333336</v>
      </c>
      <c r="H10" s="11">
        <f>'Исходные данные'!$B$3-G10</f>
        <v>66.666666666666657</v>
      </c>
    </row>
    <row r="11" spans="1:8" ht="15.6" x14ac:dyDescent="0.3">
      <c r="A11" s="8">
        <v>7</v>
      </c>
      <c r="B11" s="8" t="s">
        <v>48</v>
      </c>
      <c r="C11" s="8" t="s">
        <v>29</v>
      </c>
      <c r="D11" s="13">
        <f>'Исходные данные'!$B$25</f>
        <v>0.36</v>
      </c>
      <c r="E11" s="8" t="s">
        <v>35</v>
      </c>
      <c r="F11" s="13">
        <f>'Исходные данные'!$B$31</f>
        <v>-0.43</v>
      </c>
      <c r="G11" s="11">
        <f>'Исходные данные'!$B$3*ABS(D11)/(ABS(D11)+ABS(F11))</f>
        <v>45.569620253164558</v>
      </c>
      <c r="H11" s="11">
        <f>'Исходные данные'!$B$3-G11</f>
        <v>54.430379746835442</v>
      </c>
    </row>
    <row r="12" spans="1:8" ht="31.2" x14ac:dyDescent="0.3">
      <c r="A12" s="8">
        <v>8</v>
      </c>
      <c r="B12" s="8" t="s">
        <v>47</v>
      </c>
      <c r="C12" s="8" t="s">
        <v>35</v>
      </c>
      <c r="D12" s="13">
        <f>'Исходные данные'!$B$31</f>
        <v>-0.43</v>
      </c>
      <c r="E12" s="8" t="s">
        <v>36</v>
      </c>
      <c r="F12" s="13">
        <f>'Исходные данные'!$B$32</f>
        <v>0.14000000000000001</v>
      </c>
      <c r="G12" s="11">
        <f>'Исходные данные'!$B$3*ABS(D12)/(ABS(D12)+ABS(F12))</f>
        <v>75.438596491228068</v>
      </c>
      <c r="H12" s="11">
        <f>'Исходные данные'!$B$3-G12</f>
        <v>24.561403508771932</v>
      </c>
    </row>
  </sheetData>
  <pageMargins left="0.75" right="0.75" top="1" bottom="1" header="0.5" footer="0.5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3"/>
  <sheetViews>
    <sheetView zoomScale="110" workbookViewId="0"/>
  </sheetViews>
  <sheetFormatPr defaultRowHeight="14.4" x14ac:dyDescent="0.3"/>
  <cols>
    <col min="1" max="1" width="10" customWidth="1"/>
    <col min="2" max="2" width="11" customWidth="1"/>
    <col min="3" max="3" width="9" customWidth="1"/>
    <col min="4" max="4" width="11" customWidth="1"/>
    <col min="5" max="5" width="10" customWidth="1"/>
    <col min="6" max="6" width="11" customWidth="1"/>
    <col min="7" max="7" width="9" customWidth="1"/>
    <col min="8" max="8" width="11" customWidth="1"/>
    <col min="9" max="9" width="13" customWidth="1"/>
  </cols>
  <sheetData>
    <row r="1" spans="1:9" ht="17.399999999999999" x14ac:dyDescent="0.3">
      <c r="A1" s="1" t="s">
        <v>49</v>
      </c>
    </row>
    <row r="2" spans="1:9" ht="15.6" x14ac:dyDescent="0.3">
      <c r="A2" s="12" t="s">
        <v>50</v>
      </c>
    </row>
    <row r="4" spans="1:9" x14ac:dyDescent="0.3">
      <c r="A4" s="32" t="s">
        <v>51</v>
      </c>
      <c r="B4" s="31"/>
      <c r="C4" s="31"/>
      <c r="D4" s="31"/>
      <c r="E4" s="32" t="s">
        <v>52</v>
      </c>
      <c r="F4" s="31"/>
      <c r="G4" s="31"/>
      <c r="H4" s="31"/>
      <c r="I4" s="31"/>
    </row>
    <row r="5" spans="1:9" ht="31.95" customHeight="1" x14ac:dyDescent="0.3">
      <c r="A5" s="6" t="s">
        <v>53</v>
      </c>
      <c r="B5" s="6" t="s">
        <v>54</v>
      </c>
      <c r="C5" s="6" t="s">
        <v>55</v>
      </c>
      <c r="D5" s="6" t="s">
        <v>56</v>
      </c>
      <c r="E5" s="6" t="s">
        <v>53</v>
      </c>
      <c r="F5" s="6" t="s">
        <v>54</v>
      </c>
      <c r="G5" s="6" t="s">
        <v>55</v>
      </c>
      <c r="H5" s="6" t="s">
        <v>56</v>
      </c>
      <c r="I5" s="6" t="s">
        <v>57</v>
      </c>
    </row>
    <row r="6" spans="1:9" ht="15.6" x14ac:dyDescent="0.3">
      <c r="A6" s="14" t="s">
        <v>58</v>
      </c>
      <c r="B6" s="11">
        <f>'Исходные данные'!$B$3^2-$F$6</f>
        <v>9388.5869565217399</v>
      </c>
      <c r="C6" s="15">
        <f>(0+ABS('Исходные данные'!$B$9)+ABS('Исходные данные'!$B$15)+ABS('Исходные данные'!$B$16)+0)/5</f>
        <v>0.21000000000000002</v>
      </c>
      <c r="D6" s="11">
        <f>B6*C6</f>
        <v>1971.6032608695655</v>
      </c>
      <c r="E6" s="14" t="s">
        <v>59</v>
      </c>
      <c r="F6" s="11">
        <f>ЛНР!$G$6*ЛНР!$H$5/2</f>
        <v>611.41304347826087</v>
      </c>
      <c r="G6" s="15">
        <f>(0+ABS('Исходные данные'!$B$10)+0)/3</f>
        <v>4.9999999999999996E-2</v>
      </c>
      <c r="H6" s="11">
        <f>F6*G6</f>
        <v>30.570652173913039</v>
      </c>
      <c r="I6" s="11">
        <f>H6/'Исходные данные'!$B$4</f>
        <v>29.394857859531768</v>
      </c>
    </row>
    <row r="7" spans="1:9" ht="15.6" x14ac:dyDescent="0.3">
      <c r="A7" s="14" t="s">
        <v>60</v>
      </c>
      <c r="B7" s="11">
        <f>ЛНР!$H$6*ЛНР!$G$7/2</f>
        <v>1770.4495210022105</v>
      </c>
      <c r="C7" s="15">
        <f>(0+ABS('Исходные данные'!$B$16)+0)/3</f>
        <v>0.10333333333333333</v>
      </c>
      <c r="D7" s="11">
        <f>B7*C7</f>
        <v>182.94645050356175</v>
      </c>
      <c r="E7" s="14" t="s">
        <v>61</v>
      </c>
      <c r="F7" s="11">
        <f>'Исходные данные'!$B$3^2-$B$7</f>
        <v>8229.5504789977895</v>
      </c>
      <c r="G7" s="15">
        <f>(0+ABS('Исходные данные'!$B$17)+ABS('Исходные данные'!$B$11)+ABS('Исходные данные'!$B$10)+0)/5</f>
        <v>0.15400000000000003</v>
      </c>
      <c r="H7" s="11">
        <f>F7*G7</f>
        <v>1267.3507737656598</v>
      </c>
      <c r="I7" s="11">
        <f>H7/'Исходные данные'!$B$4</f>
        <v>1218.6065132362114</v>
      </c>
    </row>
    <row r="8" spans="1:9" ht="15.6" x14ac:dyDescent="0.3">
      <c r="A8" s="8" t="s">
        <v>62</v>
      </c>
      <c r="B8" s="8" t="s">
        <v>62</v>
      </c>
      <c r="C8" s="8" t="s">
        <v>62</v>
      </c>
      <c r="D8" s="8" t="s">
        <v>62</v>
      </c>
      <c r="E8" s="14" t="s">
        <v>63</v>
      </c>
      <c r="F8" s="11">
        <f>'Исходные данные'!$B$3^2</f>
        <v>10000</v>
      </c>
      <c r="G8" s="15">
        <f>(ABS('Исходные данные'!$B$17)+ABS('Исходные данные'!$B$18)+ABS('Исходные данные'!$B$12)+ABS('Исходные данные'!$B$11))/4</f>
        <v>0.40250000000000002</v>
      </c>
      <c r="H8" s="11">
        <f>F8*G8</f>
        <v>4025.0000000000005</v>
      </c>
      <c r="I8" s="11">
        <f>H8/'Исходные данные'!$B$4</f>
        <v>3870.1923076923081</v>
      </c>
    </row>
    <row r="9" spans="1:9" ht="15.6" x14ac:dyDescent="0.3">
      <c r="A9" s="8" t="s">
        <v>62</v>
      </c>
      <c r="B9" s="8" t="s">
        <v>62</v>
      </c>
      <c r="C9" s="8" t="s">
        <v>62</v>
      </c>
      <c r="D9" s="8" t="s">
        <v>62</v>
      </c>
      <c r="E9" s="14" t="s">
        <v>64</v>
      </c>
      <c r="F9" s="11">
        <f>'Исходные данные'!$B$3^2</f>
        <v>10000</v>
      </c>
      <c r="G9" s="15">
        <f>(ABS('Исходные данные'!$B$18)+ABS('Исходные данные'!$B$19)+ABS('Исходные данные'!$B$13)+ABS('Исходные данные'!$B$12))/4</f>
        <v>0.62250000000000005</v>
      </c>
      <c r="H9" s="11">
        <f>F9*G9</f>
        <v>6225.0000000000009</v>
      </c>
      <c r="I9" s="11">
        <f>H9/'Исходные данные'!$B$4</f>
        <v>5985.5769230769238</v>
      </c>
    </row>
    <row r="10" spans="1:9" ht="15.6" x14ac:dyDescent="0.3">
      <c r="A10" s="8" t="s">
        <v>62</v>
      </c>
      <c r="B10" s="8" t="s">
        <v>62</v>
      </c>
      <c r="C10" s="8" t="s">
        <v>62</v>
      </c>
      <c r="D10" s="8" t="s">
        <v>62</v>
      </c>
      <c r="E10" s="14" t="s">
        <v>65</v>
      </c>
      <c r="F10" s="11">
        <f>'Исходные данные'!$B$3^2</f>
        <v>10000</v>
      </c>
      <c r="G10" s="15">
        <f>(ABS('Исходные данные'!$B$19)+ABS('Исходные данные'!$B$20)+ABS('Исходные данные'!$B$14)+ABS('Исходные данные'!$B$13))/4</f>
        <v>0.70500000000000007</v>
      </c>
      <c r="H10" s="11">
        <f>F10*G10</f>
        <v>7050.0000000000009</v>
      </c>
      <c r="I10" s="11">
        <f>H10/'Исходные данные'!$B$4</f>
        <v>6778.8461538461543</v>
      </c>
    </row>
    <row r="11" spans="1:9" ht="15.6" x14ac:dyDescent="0.3">
      <c r="A11" s="14" t="s">
        <v>66</v>
      </c>
      <c r="B11" s="11">
        <f>'Исходные данные'!$B$3^2</f>
        <v>10000</v>
      </c>
      <c r="C11" s="15">
        <f>(ABS('Исходные данные'!$B$21)+ABS('Исходные данные'!$B$22)+ABS('Исходные данные'!$B$16)+ABS('Исходные данные'!$B$15))/4</f>
        <v>0.36749999999999999</v>
      </c>
      <c r="D11" s="11">
        <f>B11*C11</f>
        <v>3675</v>
      </c>
      <c r="E11" s="8" t="s">
        <v>62</v>
      </c>
      <c r="F11" s="8" t="s">
        <v>62</v>
      </c>
      <c r="G11" s="8" t="s">
        <v>62</v>
      </c>
      <c r="H11" s="8" t="s">
        <v>62</v>
      </c>
      <c r="I11" s="8" t="s">
        <v>62</v>
      </c>
    </row>
    <row r="12" spans="1:9" ht="15.6" x14ac:dyDescent="0.3">
      <c r="A12" s="14" t="s">
        <v>67</v>
      </c>
      <c r="B12" s="11">
        <f>'Исходные данные'!$B$3^2-$F$12</f>
        <v>8813.5593220338978</v>
      </c>
      <c r="C12" s="15">
        <f>(0+ABS('Исходные данные'!$B$16)+ABS('Исходные данные'!$B$22)+ABS('Исходные данные'!$B$23)+0)/5</f>
        <v>0.20400000000000001</v>
      </c>
      <c r="D12" s="11">
        <f>B12*C12</f>
        <v>1797.9661016949153</v>
      </c>
      <c r="E12" s="14" t="s">
        <v>68</v>
      </c>
      <c r="F12" s="11">
        <f>ЛНР!$G$8*ЛНР!$H$7/2</f>
        <v>1186.4406779661019</v>
      </c>
      <c r="G12" s="15">
        <f>(0+ABS('Исходные данные'!$B$17)+0)/3</f>
        <v>9.3333333333333338E-2</v>
      </c>
      <c r="H12" s="11">
        <f>F12*G12</f>
        <v>110.73446327683618</v>
      </c>
      <c r="I12" s="11">
        <f>H12/'Исходные данные'!$B$4</f>
        <v>106.47544545849632</v>
      </c>
    </row>
    <row r="13" spans="1:9" ht="15.6" x14ac:dyDescent="0.3">
      <c r="A13" s="14" t="s">
        <v>69</v>
      </c>
      <c r="B13" s="11">
        <f>ЛНР!$H$8*ЛНР!$G$9/2</f>
        <v>1666.6666666666667</v>
      </c>
      <c r="C13" s="15">
        <f>(0+ABS('Исходные данные'!$B$23)+0)/3</f>
        <v>9.3333333333333338E-2</v>
      </c>
      <c r="D13" s="11">
        <f>B13*C13</f>
        <v>155.55555555555557</v>
      </c>
      <c r="E13" s="14" t="s">
        <v>70</v>
      </c>
      <c r="F13" s="11">
        <f>'Исходные данные'!$B$3^2-$B$13</f>
        <v>8333.3333333333339</v>
      </c>
      <c r="G13" s="15">
        <f>(0+ABS('Исходные данные'!$B$24)+ABS('Исходные данные'!$B$18)+ABS('Исходные данные'!$B$17)+0)/5</f>
        <v>0.188</v>
      </c>
      <c r="H13" s="11">
        <f>F13*G13</f>
        <v>1566.6666666666667</v>
      </c>
      <c r="I13" s="11">
        <f>H13/'Исходные данные'!$B$4</f>
        <v>1506.4102564102564</v>
      </c>
    </row>
    <row r="14" spans="1:9" ht="15.6" x14ac:dyDescent="0.3">
      <c r="A14" s="8" t="s">
        <v>62</v>
      </c>
      <c r="B14" s="8" t="s">
        <v>62</v>
      </c>
      <c r="C14" s="8" t="s">
        <v>62</v>
      </c>
      <c r="D14" s="8" t="s">
        <v>62</v>
      </c>
      <c r="E14" s="14" t="s">
        <v>71</v>
      </c>
      <c r="F14" s="11">
        <f>'Исходные данные'!$B$3^2</f>
        <v>10000</v>
      </c>
      <c r="G14" s="15">
        <f>(ABS('Исходные данные'!$B$24)+ABS('Исходные данные'!$B$25)+ABS('Исходные данные'!$B$19)+ABS('Исходные данные'!$B$18))/4</f>
        <v>0.46499999999999997</v>
      </c>
      <c r="H14" s="11">
        <f>F14*G14</f>
        <v>4650</v>
      </c>
      <c r="I14" s="11">
        <f>H14/'Исходные данные'!$B$4</f>
        <v>4471.1538461538457</v>
      </c>
    </row>
    <row r="15" spans="1:9" ht="15.6" x14ac:dyDescent="0.3">
      <c r="A15" s="8" t="s">
        <v>62</v>
      </c>
      <c r="B15" s="8" t="s">
        <v>62</v>
      </c>
      <c r="C15" s="8" t="s">
        <v>62</v>
      </c>
      <c r="D15" s="8" t="s">
        <v>62</v>
      </c>
      <c r="E15" s="14" t="s">
        <v>72</v>
      </c>
      <c r="F15" s="11">
        <f>'Исходные данные'!$B$3^2</f>
        <v>10000</v>
      </c>
      <c r="G15" s="15">
        <f>(ABS('Исходные данные'!$B$25)+ABS('Исходные данные'!$B$26)+ABS('Исходные данные'!$B$20)+ABS('Исходные данные'!$B$19))/4</f>
        <v>0.60750000000000004</v>
      </c>
      <c r="H15" s="11">
        <f>F15*G15</f>
        <v>6075</v>
      </c>
      <c r="I15" s="11">
        <f>H15/'Исходные данные'!$B$4</f>
        <v>5841.3461538461534</v>
      </c>
    </row>
    <row r="16" spans="1:9" ht="15.6" x14ac:dyDescent="0.3">
      <c r="A16" s="14" t="s">
        <v>73</v>
      </c>
      <c r="B16" s="11">
        <f>'Исходные данные'!$B$3^2</f>
        <v>10000</v>
      </c>
      <c r="C16" s="15">
        <f>(ABS('Исходные данные'!$B$27)+ABS('Исходные данные'!$B$28)+ABS('Исходные данные'!$B$22)+ABS('Исходные данные'!$B$21))/4</f>
        <v>0.43</v>
      </c>
      <c r="D16" s="11">
        <f>B16*C16</f>
        <v>4300</v>
      </c>
      <c r="E16" s="8" t="s">
        <v>62</v>
      </c>
      <c r="F16" s="8" t="s">
        <v>62</v>
      </c>
      <c r="G16" s="8" t="s">
        <v>62</v>
      </c>
      <c r="H16" s="8" t="s">
        <v>62</v>
      </c>
      <c r="I16" s="8" t="s">
        <v>62</v>
      </c>
    </row>
    <row r="17" spans="1:9" ht="15.6" x14ac:dyDescent="0.3">
      <c r="A17" s="14" t="s">
        <v>74</v>
      </c>
      <c r="B17" s="11">
        <f>'Исходные данные'!$B$3^2</f>
        <v>10000</v>
      </c>
      <c r="C17" s="15">
        <f>(ABS('Исходные данные'!$B$28)+ABS('Исходные данные'!$B$29)+ABS('Исходные данные'!$B$23)+ABS('Исходные данные'!$B$22))/4</f>
        <v>0.47</v>
      </c>
      <c r="D17" s="11">
        <f>B17*C17</f>
        <v>4700</v>
      </c>
      <c r="E17" s="8" t="s">
        <v>62</v>
      </c>
      <c r="F17" s="8" t="s">
        <v>62</v>
      </c>
      <c r="G17" s="8" t="s">
        <v>62</v>
      </c>
      <c r="H17" s="8" t="s">
        <v>62</v>
      </c>
      <c r="I17" s="8" t="s">
        <v>62</v>
      </c>
    </row>
    <row r="18" spans="1:9" ht="15.6" x14ac:dyDescent="0.3">
      <c r="A18" s="14" t="s">
        <v>75</v>
      </c>
      <c r="B18" s="11">
        <f>'Исходные данные'!$B$3^2-$F$18</f>
        <v>9444.4444444444453</v>
      </c>
      <c r="C18" s="15">
        <f>(0+ABS('Исходные данные'!$B$23)+ABS('Исходные данные'!$B$29)+ABS('Исходные данные'!$B$30)+0)/5</f>
        <v>0.21600000000000003</v>
      </c>
      <c r="D18" s="11">
        <f>B18*C18</f>
        <v>2040.0000000000005</v>
      </c>
      <c r="E18" s="14" t="s">
        <v>76</v>
      </c>
      <c r="F18" s="11">
        <f>ЛНР!$G$10*ЛНР!$H$9/2</f>
        <v>555.55555555555554</v>
      </c>
      <c r="G18" s="15">
        <f>(0+ABS('Исходные данные'!$B$24)+0)/3</f>
        <v>4.6666666666666669E-2</v>
      </c>
      <c r="H18" s="11">
        <f>F18*G18</f>
        <v>25.925925925925927</v>
      </c>
      <c r="I18" s="11">
        <f>H18/'Исходные данные'!$B$4</f>
        <v>24.928774928774928</v>
      </c>
    </row>
    <row r="19" spans="1:9" ht="15.6" x14ac:dyDescent="0.3">
      <c r="A19" s="14" t="s">
        <v>77</v>
      </c>
      <c r="B19" s="11">
        <f>(ЛНР!$H$10+ЛНР!$H$11)/2*'Исходные данные'!$B$3</f>
        <v>6054.8523206751051</v>
      </c>
      <c r="C19" s="15">
        <f>(0+ABS('Исходные данные'!$B$30)+ABS('Исходные данные'!$B$31)+0)/4</f>
        <v>0.17749999999999999</v>
      </c>
      <c r="D19" s="11">
        <f>B19*C19</f>
        <v>1074.7362869198312</v>
      </c>
      <c r="E19" s="14" t="s">
        <v>78</v>
      </c>
      <c r="F19" s="11">
        <f>(ЛНР!$G$11+ЛНР!$G$10)/2*'Исходные данные'!$B$3</f>
        <v>3945.1476793248944</v>
      </c>
      <c r="G19" s="15">
        <f>(0+ABS('Исходные данные'!$B$25)+ABS('Исходные данные'!$B$24)+0)/4</f>
        <v>0.125</v>
      </c>
      <c r="H19" s="11">
        <f>F19*G19</f>
        <v>493.1434599156118</v>
      </c>
      <c r="I19" s="11">
        <f>H19/'Исходные данные'!$B$4</f>
        <v>474.17640376501134</v>
      </c>
    </row>
    <row r="20" spans="1:9" ht="15.6" x14ac:dyDescent="0.3">
      <c r="A20" s="14" t="s">
        <v>79</v>
      </c>
      <c r="B20" s="11">
        <f>ЛНР!$H$11*ЛНР!$G$12/2</f>
        <v>2053.0757272929159</v>
      </c>
      <c r="C20" s="15">
        <f>(0+ABS('Исходные данные'!$B$31)+0)/3</f>
        <v>0.14333333333333334</v>
      </c>
      <c r="D20" s="11">
        <f>B20*C20</f>
        <v>294.27418757865127</v>
      </c>
      <c r="E20" s="14" t="s">
        <v>80</v>
      </c>
      <c r="F20" s="11">
        <f>'Исходные данные'!$B$3^2-$B$20</f>
        <v>7946.9242727070841</v>
      </c>
      <c r="G20" s="15">
        <f>(0+ABS('Исходные данные'!$B$32)+ABS('Исходные данные'!$B$26)+ABS('Исходные данные'!$B$25)+0)/5</f>
        <v>0.252</v>
      </c>
      <c r="H20" s="11">
        <f>F20*G20</f>
        <v>2002.6249167221852</v>
      </c>
      <c r="I20" s="11">
        <f>H20/'Исходные данные'!$B$4</f>
        <v>1925.6008814636396</v>
      </c>
    </row>
    <row r="21" spans="1:9" ht="15.6" x14ac:dyDescent="0.3">
      <c r="A21" s="14" t="s">
        <v>81</v>
      </c>
      <c r="B21" s="16">
        <f>SUM(B6:B20)</f>
        <v>69191.634958636991</v>
      </c>
      <c r="C21" s="8"/>
      <c r="D21" s="16">
        <f>SUM(D6:D20)</f>
        <v>20192.08184312208</v>
      </c>
      <c r="E21" s="14" t="s">
        <v>81</v>
      </c>
      <c r="F21" s="16">
        <f>SUM(F6:F20)</f>
        <v>80808.365041363009</v>
      </c>
      <c r="G21" s="8"/>
      <c r="H21" s="16">
        <f>SUM(H6:H20)</f>
        <v>33522.016858446805</v>
      </c>
      <c r="I21" s="16">
        <f>SUM(I6:I20)</f>
        <v>32232.708517737305</v>
      </c>
    </row>
    <row r="23" spans="1:9" ht="15.6" x14ac:dyDescent="0.3">
      <c r="A23" s="7" t="s">
        <v>82</v>
      </c>
    </row>
    <row r="24" spans="1:9" ht="15.6" x14ac:dyDescent="0.3">
      <c r="A24" s="6" t="s">
        <v>83</v>
      </c>
      <c r="B24" s="6" t="s">
        <v>84</v>
      </c>
      <c r="C24" s="6" t="s">
        <v>85</v>
      </c>
      <c r="D24" s="6" t="s">
        <v>86</v>
      </c>
      <c r="E24" s="6" t="s">
        <v>87</v>
      </c>
      <c r="F24" s="6" t="s">
        <v>88</v>
      </c>
    </row>
    <row r="25" spans="1:9" ht="15.6" x14ac:dyDescent="0.3">
      <c r="A25" s="8" t="s">
        <v>89</v>
      </c>
      <c r="B25" s="15">
        <f>ABS('Исходные данные'!$B$9)+ABS('Исходные данные'!$B$31)+ABS('Исходные данные'!$B$30)+ABS('Исходные данные'!$B$29)+ABS('Исходные данные'!$B$28)+ABS('Исходные данные'!$B$27)+ABS('Исходные данные'!$B$21)+ABS('Исходные данные'!$B$15)</f>
        <v>3.26</v>
      </c>
      <c r="C25" s="8">
        <v>8</v>
      </c>
      <c r="D25" s="11">
        <f>ЛНР!$G$5+ЛНР!$G$12+'Исходные данные'!$B$3+'Исходные данные'!$B$3+'Исходные данные'!$B$3+'Исходные данные'!$B$3+'Исходные данные'!$B$3+'Исходные данные'!$B$3+'Исходные данные'!$B$3</f>
        <v>837.93859649122805</v>
      </c>
      <c r="E25" s="9">
        <v>0.25</v>
      </c>
      <c r="F25" s="11">
        <f>(B25/C25)^2*D25*E25/2</f>
        <v>17.393117632949561</v>
      </c>
    </row>
    <row r="26" spans="1:9" ht="15.6" x14ac:dyDescent="0.3">
      <c r="A26" s="8" t="s">
        <v>90</v>
      </c>
      <c r="B26" s="15">
        <f>ABS('Исходные данные'!$B$10)+ABS('Исходные данные'!$B$11)+ABS('Исходные данные'!$B$12)+ABS('Исходные данные'!$B$13)+ABS('Исходные данные'!$B$14)+ABS('Исходные данные'!$B$20)+ABS('Исходные данные'!$B$26)+ABS('Исходные данные'!$B$32)</f>
        <v>3.8400000000000003</v>
      </c>
      <c r="C26" s="8">
        <v>8</v>
      </c>
      <c r="D26" s="11">
        <f>ЛНР!$H$5+'Исходные данные'!$B$3+'Исходные данные'!$B$3+'Исходные данные'!$B$3+'Исходные данные'!$B$3+'Исходные данные'!$B$3+'Исходные данные'!$B$3+'Исходные данные'!$B$3+ЛНР!$H$12</f>
        <v>762.06140350877195</v>
      </c>
      <c r="E26" s="9">
        <v>0.25</v>
      </c>
      <c r="F26" s="11">
        <f>(B26/C26)^2*D26*E26/2</f>
        <v>21.947368421052637</v>
      </c>
    </row>
    <row r="28" spans="1:9" ht="15.6" x14ac:dyDescent="0.3">
      <c r="A28" s="7" t="s">
        <v>91</v>
      </c>
    </row>
    <row r="29" spans="1:9" ht="15.6" x14ac:dyDescent="0.3">
      <c r="A29" s="30" t="s">
        <v>92</v>
      </c>
      <c r="B29" s="31"/>
      <c r="C29" s="31"/>
      <c r="D29" s="31"/>
      <c r="E29" s="31"/>
      <c r="F29" s="16">
        <f>B21+F21</f>
        <v>150000</v>
      </c>
    </row>
    <row r="30" spans="1:9" ht="15.6" x14ac:dyDescent="0.3">
      <c r="A30" s="30" t="s">
        <v>93</v>
      </c>
      <c r="B30" s="31"/>
      <c r="C30" s="31"/>
      <c r="D30" s="31"/>
      <c r="E30" s="31"/>
      <c r="F30" s="16">
        <f>'Исходные данные'!$B$6*'Исходные данные'!$B$3^2</f>
        <v>150000</v>
      </c>
    </row>
    <row r="31" spans="1:9" ht="15.6" x14ac:dyDescent="0.3">
      <c r="A31" s="30" t="s">
        <v>94</v>
      </c>
      <c r="B31" s="31"/>
      <c r="C31" s="31"/>
      <c r="D31" s="31"/>
      <c r="E31" s="31"/>
      <c r="F31" s="16">
        <f>D21+F25</f>
        <v>20209.474960755029</v>
      </c>
    </row>
    <row r="32" spans="1:9" ht="15.6" x14ac:dyDescent="0.3">
      <c r="A32" s="30" t="s">
        <v>95</v>
      </c>
      <c r="B32" s="31"/>
      <c r="C32" s="31"/>
      <c r="D32" s="31"/>
      <c r="E32" s="31"/>
      <c r="F32" s="16">
        <f>H21+F26</f>
        <v>33543.964226867858</v>
      </c>
    </row>
    <row r="33" spans="1:6" ht="15.6" x14ac:dyDescent="0.3">
      <c r="A33" s="30" t="s">
        <v>96</v>
      </c>
      <c r="B33" s="31"/>
      <c r="C33" s="31"/>
      <c r="D33" s="31"/>
      <c r="E33" s="31"/>
      <c r="F33" s="16">
        <f>F32/'Исходные данные'!$B$4</f>
        <v>32253.811756603707</v>
      </c>
    </row>
  </sheetData>
  <mergeCells count="7">
    <mergeCell ref="A30:E30"/>
    <mergeCell ref="A29:E29"/>
    <mergeCell ref="E4:I4"/>
    <mergeCell ref="A4:D4"/>
    <mergeCell ref="A33:E33"/>
    <mergeCell ref="A32:E32"/>
    <mergeCell ref="A31:E31"/>
  </mergeCells>
  <pageMargins left="0.75" right="0.75" top="1" bottom="1" header="0.5" footer="0.5"/>
  <pageSetup paperSize="9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75"/>
  <sheetViews>
    <sheetView zoomScale="110" workbookViewId="0"/>
  </sheetViews>
  <sheetFormatPr defaultRowHeight="14.4" x14ac:dyDescent="0.3"/>
  <cols>
    <col min="1" max="1" width="52" customWidth="1"/>
    <col min="2" max="2" width="10" customWidth="1"/>
    <col min="3" max="3" width="12" customWidth="1"/>
    <col min="4" max="4" width="8" customWidth="1"/>
    <col min="5" max="5" width="44" customWidth="1"/>
    <col min="6" max="7" width="9" customWidth="1"/>
    <col min="8" max="8" width="10" customWidth="1"/>
  </cols>
  <sheetData>
    <row r="1" spans="1:5" ht="17.399999999999999" x14ac:dyDescent="0.3">
      <c r="A1" s="1" t="s">
        <v>97</v>
      </c>
    </row>
    <row r="2" spans="1:5" x14ac:dyDescent="0.3">
      <c r="A2" s="4" t="s">
        <v>98</v>
      </c>
    </row>
    <row r="4" spans="1:5" ht="15.6" x14ac:dyDescent="0.3">
      <c r="A4" s="6" t="s">
        <v>99</v>
      </c>
      <c r="B4" s="6" t="s">
        <v>100</v>
      </c>
      <c r="C4" s="6" t="s">
        <v>101</v>
      </c>
      <c r="D4" s="6" t="s">
        <v>102</v>
      </c>
      <c r="E4" s="6" t="s">
        <v>103</v>
      </c>
    </row>
    <row r="5" spans="1:5" x14ac:dyDescent="0.3">
      <c r="A5" s="33" t="s">
        <v>104</v>
      </c>
      <c r="B5" s="31"/>
      <c r="C5" s="31"/>
      <c r="D5" s="31"/>
      <c r="E5" s="31"/>
    </row>
    <row r="6" spans="1:5" ht="31.2" x14ac:dyDescent="0.3">
      <c r="A6" s="2" t="s">
        <v>105</v>
      </c>
      <c r="B6" s="8" t="s">
        <v>106</v>
      </c>
      <c r="C6" s="17">
        <v>2.4</v>
      </c>
      <c r="D6" s="8" t="s">
        <v>107</v>
      </c>
      <c r="E6" s="18"/>
    </row>
    <row r="7" spans="1:5" ht="15.6" x14ac:dyDescent="0.3">
      <c r="A7" s="2" t="s">
        <v>108</v>
      </c>
      <c r="B7" s="8" t="s">
        <v>109</v>
      </c>
      <c r="C7" s="17">
        <v>0.4</v>
      </c>
      <c r="D7" s="8" t="s">
        <v>107</v>
      </c>
      <c r="E7" s="18"/>
    </row>
    <row r="8" spans="1:5" ht="15.6" x14ac:dyDescent="0.3">
      <c r="A8" s="2" t="s">
        <v>110</v>
      </c>
      <c r="B8" s="8" t="s">
        <v>111</v>
      </c>
      <c r="C8" s="17">
        <v>0.15</v>
      </c>
      <c r="D8" s="8" t="s">
        <v>107</v>
      </c>
      <c r="E8" s="18"/>
    </row>
    <row r="9" spans="1:5" ht="15.6" x14ac:dyDescent="0.3">
      <c r="A9" s="2" t="s">
        <v>112</v>
      </c>
      <c r="B9" s="8" t="s">
        <v>113</v>
      </c>
      <c r="C9" s="17">
        <v>0.1</v>
      </c>
      <c r="D9" s="8" t="s">
        <v>107</v>
      </c>
      <c r="E9" s="18"/>
    </row>
    <row r="10" spans="1:5" ht="15.6" x14ac:dyDescent="0.3">
      <c r="A10" s="2" t="s">
        <v>114</v>
      </c>
      <c r="B10" s="8" t="s">
        <v>115</v>
      </c>
      <c r="C10" s="17">
        <v>0.2</v>
      </c>
      <c r="D10" s="8" t="s">
        <v>107</v>
      </c>
      <c r="E10" s="18" t="s">
        <v>116</v>
      </c>
    </row>
    <row r="11" spans="1:5" ht="15.6" x14ac:dyDescent="0.3">
      <c r="A11" s="2" t="s">
        <v>117</v>
      </c>
      <c r="B11" s="8" t="s">
        <v>118</v>
      </c>
      <c r="C11" s="17">
        <v>0.4</v>
      </c>
      <c r="D11" s="8" t="s">
        <v>107</v>
      </c>
      <c r="E11" s="18" t="s">
        <v>119</v>
      </c>
    </row>
    <row r="12" spans="1:5" ht="15.6" x14ac:dyDescent="0.3">
      <c r="A12" s="2" t="s">
        <v>120</v>
      </c>
      <c r="B12" s="8"/>
      <c r="C12" s="17">
        <v>0.5</v>
      </c>
      <c r="D12" s="8" t="s">
        <v>107</v>
      </c>
      <c r="E12" s="18" t="s">
        <v>121</v>
      </c>
    </row>
    <row r="13" spans="1:5" ht="15.6" x14ac:dyDescent="0.3">
      <c r="A13" s="2" t="s">
        <v>122</v>
      </c>
      <c r="B13" s="8"/>
      <c r="C13" s="17">
        <v>0.2</v>
      </c>
      <c r="D13" s="8" t="s">
        <v>107</v>
      </c>
      <c r="E13" s="18" t="s">
        <v>123</v>
      </c>
    </row>
    <row r="14" spans="1:5" ht="15.6" x14ac:dyDescent="0.3">
      <c r="A14" s="2" t="s">
        <v>124</v>
      </c>
      <c r="B14" s="8"/>
      <c r="C14" s="17">
        <v>0.5</v>
      </c>
      <c r="D14" s="8" t="s">
        <v>107</v>
      </c>
      <c r="E14" s="18" t="s">
        <v>121</v>
      </c>
    </row>
    <row r="15" spans="1:5" ht="15.6" x14ac:dyDescent="0.3">
      <c r="A15" s="2" t="s">
        <v>125</v>
      </c>
      <c r="B15" s="8"/>
      <c r="C15" s="19">
        <v>60</v>
      </c>
      <c r="D15" s="8" t="s">
        <v>107</v>
      </c>
      <c r="E15" s="18"/>
    </row>
    <row r="16" spans="1:5" ht="15.6" x14ac:dyDescent="0.3">
      <c r="A16" s="2" t="s">
        <v>126</v>
      </c>
      <c r="B16" s="8"/>
      <c r="C16" s="19">
        <v>30</v>
      </c>
      <c r="D16" s="8" t="s">
        <v>107</v>
      </c>
      <c r="E16" s="18"/>
    </row>
    <row r="17" spans="1:5" ht="15.6" x14ac:dyDescent="0.3">
      <c r="A17" s="2" t="s">
        <v>127</v>
      </c>
      <c r="B17" s="8"/>
      <c r="C17" s="19">
        <v>42</v>
      </c>
      <c r="D17" s="8" t="s">
        <v>107</v>
      </c>
      <c r="E17" s="18"/>
    </row>
    <row r="18" spans="1:5" ht="15.6" x14ac:dyDescent="0.3">
      <c r="A18" s="2" t="s">
        <v>128</v>
      </c>
      <c r="B18" s="8"/>
      <c r="C18" s="19">
        <v>12</v>
      </c>
      <c r="D18" s="8" t="s">
        <v>107</v>
      </c>
      <c r="E18" s="18"/>
    </row>
    <row r="19" spans="1:5" ht="15.6" x14ac:dyDescent="0.3">
      <c r="A19" s="2" t="s">
        <v>129</v>
      </c>
      <c r="B19" s="8"/>
      <c r="C19" s="20">
        <v>200</v>
      </c>
      <c r="D19" s="8" t="s">
        <v>107</v>
      </c>
      <c r="E19" s="18"/>
    </row>
    <row r="20" spans="1:5" ht="15.6" x14ac:dyDescent="0.3">
      <c r="A20" s="2" t="s">
        <v>130</v>
      </c>
      <c r="B20" s="8"/>
      <c r="C20" s="20">
        <v>100</v>
      </c>
      <c r="D20" s="8" t="s">
        <v>107</v>
      </c>
      <c r="E20" s="18"/>
    </row>
    <row r="21" spans="1:5" ht="15.6" x14ac:dyDescent="0.3">
      <c r="A21" s="2" t="s">
        <v>131</v>
      </c>
      <c r="B21" s="8" t="s">
        <v>132</v>
      </c>
      <c r="C21" s="21">
        <f>$C$19+'Исходные данные'!$B$3/2-$C$15/2</f>
        <v>220</v>
      </c>
      <c r="D21" s="8" t="s">
        <v>107</v>
      </c>
      <c r="E21" s="18"/>
    </row>
    <row r="22" spans="1:5" ht="15.6" x14ac:dyDescent="0.3">
      <c r="A22" s="2" t="s">
        <v>133</v>
      </c>
      <c r="B22" s="8" t="s">
        <v>134</v>
      </c>
      <c r="C22" s="21">
        <f>$C$20+'Исходные данные'!$B$3/2-$C$16/2</f>
        <v>135</v>
      </c>
      <c r="D22" s="8" t="s">
        <v>107</v>
      </c>
      <c r="E22" s="18"/>
    </row>
    <row r="23" spans="1:5" x14ac:dyDescent="0.3">
      <c r="A23" s="33" t="s">
        <v>135</v>
      </c>
      <c r="B23" s="31"/>
      <c r="C23" s="31"/>
      <c r="D23" s="31"/>
      <c r="E23" s="31"/>
    </row>
    <row r="24" spans="1:5" ht="15.6" x14ac:dyDescent="0.3">
      <c r="A24" s="2" t="s">
        <v>136</v>
      </c>
      <c r="B24" s="8"/>
      <c r="C24" s="22">
        <f>$C$11/2</f>
        <v>0.2</v>
      </c>
      <c r="D24" s="8" t="s">
        <v>107</v>
      </c>
      <c r="E24" s="18"/>
    </row>
    <row r="25" spans="1:5" ht="15.6" x14ac:dyDescent="0.3">
      <c r="A25" s="2" t="s">
        <v>137</v>
      </c>
      <c r="B25" s="8" t="s">
        <v>138</v>
      </c>
      <c r="C25" s="22">
        <f>$C$24+$C$12</f>
        <v>0.7</v>
      </c>
      <c r="D25" s="8" t="s">
        <v>107</v>
      </c>
      <c r="E25" s="18"/>
    </row>
    <row r="26" spans="1:5" ht="15.6" x14ac:dyDescent="0.3">
      <c r="A26" s="2" t="s">
        <v>139</v>
      </c>
      <c r="B26" s="8"/>
      <c r="C26" s="22">
        <f>$C$25+$C$13</f>
        <v>0.89999999999999991</v>
      </c>
      <c r="D26" s="8" t="s">
        <v>107</v>
      </c>
      <c r="E26" s="18"/>
    </row>
    <row r="27" spans="1:5" ht="15.6" x14ac:dyDescent="0.3">
      <c r="A27" s="2" t="s">
        <v>140</v>
      </c>
      <c r="B27" s="8"/>
      <c r="C27" s="22">
        <f>$C$26+$C$14</f>
        <v>1.4</v>
      </c>
      <c r="D27" s="8" t="s">
        <v>107</v>
      </c>
      <c r="E27" s="18"/>
    </row>
    <row r="28" spans="1:5" ht="15.6" x14ac:dyDescent="0.3">
      <c r="A28" s="2" t="s">
        <v>141</v>
      </c>
      <c r="B28" s="8" t="s">
        <v>142</v>
      </c>
      <c r="C28" s="22">
        <f>$C$27-$C$25</f>
        <v>0.7</v>
      </c>
      <c r="D28" s="8" t="s">
        <v>107</v>
      </c>
      <c r="E28" s="18" t="s">
        <v>143</v>
      </c>
    </row>
    <row r="29" spans="1:5" x14ac:dyDescent="0.3">
      <c r="A29" s="33" t="s">
        <v>144</v>
      </c>
      <c r="B29" s="31"/>
      <c r="C29" s="31"/>
      <c r="D29" s="31"/>
      <c r="E29" s="31"/>
    </row>
    <row r="30" spans="1:5" ht="26.4" x14ac:dyDescent="0.3">
      <c r="A30" s="2" t="s">
        <v>145</v>
      </c>
      <c r="B30" s="8" t="s">
        <v>146</v>
      </c>
      <c r="C30" s="11">
        <f>IF($C$6&lt;=1.5,0.25,IF($C$6&lt;=3,0.67,0.85))</f>
        <v>0.67</v>
      </c>
      <c r="D30" s="8"/>
      <c r="E30" s="18" t="s">
        <v>147</v>
      </c>
    </row>
    <row r="31" spans="1:5" ht="15.6" x14ac:dyDescent="0.3">
      <c r="A31" s="2" t="s">
        <v>148</v>
      </c>
      <c r="B31" s="8"/>
      <c r="C31" s="22">
        <f>$C$27+$C$6*$C$30</f>
        <v>3.008</v>
      </c>
      <c r="D31" s="8" t="s">
        <v>107</v>
      </c>
      <c r="E31" s="18"/>
    </row>
    <row r="32" spans="1:5" ht="31.2" x14ac:dyDescent="0.3">
      <c r="A32" s="2" t="s">
        <v>149</v>
      </c>
      <c r="B32" s="8" t="s">
        <v>150</v>
      </c>
      <c r="C32" s="15">
        <f>AVERAGE(H69:H74)</f>
        <v>0.14386012305066664</v>
      </c>
      <c r="D32" s="8" t="s">
        <v>107</v>
      </c>
      <c r="E32" s="18" t="s">
        <v>151</v>
      </c>
    </row>
    <row r="33" spans="1:5" ht="15.6" x14ac:dyDescent="0.3">
      <c r="A33" s="2" t="s">
        <v>152</v>
      </c>
      <c r="B33" s="8"/>
      <c r="C33" s="22" t="str">
        <f>IF($C$32&gt;0,"насыпи","выемки")</f>
        <v>насыпи</v>
      </c>
      <c r="D33" s="8"/>
      <c r="E33" s="18" t="s">
        <v>153</v>
      </c>
    </row>
    <row r="34" spans="1:5" ht="31.2" x14ac:dyDescent="0.3">
      <c r="A34" s="2" t="s">
        <v>154</v>
      </c>
      <c r="B34" s="8" t="s">
        <v>155</v>
      </c>
      <c r="C34" s="15">
        <f>('Исходные данные'!$B$17+'Исходные данные'!$B$18+'Исходные данные'!$B$23+'Исходные данные'!$B$24)/4</f>
        <v>0.16500000000000001</v>
      </c>
      <c r="D34" s="8" t="s">
        <v>107</v>
      </c>
      <c r="E34" s="18" t="s">
        <v>156</v>
      </c>
    </row>
    <row r="35" spans="1:5" ht="15.6" x14ac:dyDescent="0.3">
      <c r="A35" s="2" t="s">
        <v>157</v>
      </c>
      <c r="B35" s="8" t="s">
        <v>158</v>
      </c>
      <c r="C35" s="15">
        <f>IF($C$33="насыпи",$C$6-$C$10-$C$34,$C$6-$C$10)</f>
        <v>2.0349999999999997</v>
      </c>
      <c r="D35" s="8" t="s">
        <v>107</v>
      </c>
      <c r="E35" s="18" t="s">
        <v>159</v>
      </c>
    </row>
    <row r="36" spans="1:5" x14ac:dyDescent="0.3">
      <c r="A36" s="33" t="s">
        <v>160</v>
      </c>
      <c r="B36" s="31"/>
      <c r="C36" s="31"/>
      <c r="D36" s="31"/>
      <c r="E36" s="31"/>
    </row>
    <row r="37" spans="1:5" ht="15.6" x14ac:dyDescent="0.3">
      <c r="A37" s="2" t="s">
        <v>161</v>
      </c>
      <c r="B37" s="8" t="s">
        <v>87</v>
      </c>
      <c r="C37" s="11">
        <f>IF($C$35&lt;=1.5,0.25,IF($C$35&lt;=3,0.67,0.85))</f>
        <v>0.67</v>
      </c>
      <c r="D37" s="8"/>
      <c r="E37" s="18" t="s">
        <v>162</v>
      </c>
    </row>
    <row r="38" spans="1:5" ht="15.6" x14ac:dyDescent="0.3">
      <c r="A38" s="2" t="s">
        <v>163</v>
      </c>
      <c r="B38" s="8" t="s">
        <v>164</v>
      </c>
      <c r="C38" s="15">
        <f>$C$35*$C$37</f>
        <v>1.3634499999999998</v>
      </c>
      <c r="D38" s="8" t="s">
        <v>107</v>
      </c>
      <c r="E38" s="18" t="s">
        <v>165</v>
      </c>
    </row>
    <row r="39" spans="1:5" ht="15.6" x14ac:dyDescent="0.3">
      <c r="A39" s="2" t="s">
        <v>166</v>
      </c>
      <c r="B39" s="8"/>
      <c r="C39" s="22">
        <f>$C$15+2*$C$27</f>
        <v>62.8</v>
      </c>
      <c r="D39" s="8" t="s">
        <v>107</v>
      </c>
      <c r="E39" s="18"/>
    </row>
    <row r="40" spans="1:5" ht="15.6" x14ac:dyDescent="0.3">
      <c r="A40" s="2" t="s">
        <v>167</v>
      </c>
      <c r="B40" s="8"/>
      <c r="C40" s="22">
        <f>$C$16+2*$C$27</f>
        <v>32.799999999999997</v>
      </c>
      <c r="D40" s="8" t="s">
        <v>107</v>
      </c>
      <c r="E40" s="18"/>
    </row>
    <row r="41" spans="1:5" ht="15.6" x14ac:dyDescent="0.3">
      <c r="A41" s="2" t="s">
        <v>168</v>
      </c>
      <c r="B41" s="8" t="s">
        <v>169</v>
      </c>
      <c r="C41" s="11">
        <f>($C$15+2*$C$27)*($C$16+2*$C$27)-$C$17*$C$18</f>
        <v>1555.8399999999997</v>
      </c>
      <c r="D41" s="8" t="s">
        <v>170</v>
      </c>
      <c r="E41" s="18" t="s">
        <v>171</v>
      </c>
    </row>
    <row r="42" spans="1:5" ht="15.6" x14ac:dyDescent="0.3">
      <c r="A42" s="2" t="s">
        <v>172</v>
      </c>
      <c r="B42" s="8"/>
      <c r="C42" s="22">
        <f>$C$39+2*$C$38</f>
        <v>65.526899999999998</v>
      </c>
      <c r="D42" s="8" t="s">
        <v>107</v>
      </c>
      <c r="E42" s="18"/>
    </row>
    <row r="43" spans="1:5" ht="15.6" x14ac:dyDescent="0.3">
      <c r="A43" s="2" t="s">
        <v>173</v>
      </c>
      <c r="B43" s="8"/>
      <c r="C43" s="22">
        <f>$C$40+2*$C$38</f>
        <v>35.526899999999998</v>
      </c>
      <c r="D43" s="8" t="s">
        <v>107</v>
      </c>
      <c r="E43" s="18"/>
    </row>
    <row r="44" spans="1:5" ht="15.6" x14ac:dyDescent="0.3">
      <c r="A44" s="2" t="s">
        <v>174</v>
      </c>
      <c r="B44" s="8" t="s">
        <v>175</v>
      </c>
      <c r="C44" s="11">
        <f>$C$42*$C$43-$C$17*$C$18</f>
        <v>1823.9676236099999</v>
      </c>
      <c r="D44" s="8" t="s">
        <v>170</v>
      </c>
      <c r="E44" s="18"/>
    </row>
    <row r="45" spans="1:5" ht="15.6" x14ac:dyDescent="0.3">
      <c r="A45" s="2" t="s">
        <v>176</v>
      </c>
      <c r="B45" s="8" t="s">
        <v>177</v>
      </c>
      <c r="C45" s="11">
        <f>($C$15+2*$C$24)*($C$16+2*$C$24)-$C$17*$C$18</f>
        <v>1332.1599999999999</v>
      </c>
      <c r="D45" s="8" t="s">
        <v>170</v>
      </c>
      <c r="E45" s="18"/>
    </row>
    <row r="46" spans="1:5" ht="15.6" x14ac:dyDescent="0.3">
      <c r="A46" s="2" t="s">
        <v>178</v>
      </c>
      <c r="B46" s="8" t="s">
        <v>179</v>
      </c>
      <c r="C46" s="11">
        <f>($C$15+2*$C$25)*($C$16+2*$C$25)-$C$17*$C$18</f>
        <v>1423.9599999999998</v>
      </c>
      <c r="D46" s="8" t="s">
        <v>170</v>
      </c>
      <c r="E46" s="18"/>
    </row>
    <row r="47" spans="1:5" ht="15.6" x14ac:dyDescent="0.3">
      <c r="A47" s="2" t="s">
        <v>180</v>
      </c>
      <c r="B47" s="8" t="s">
        <v>181</v>
      </c>
      <c r="C47" s="11">
        <f>($C$15+2*$C$26)*($C$16+2*$C$26)-$C$17*$C$18</f>
        <v>1461.24</v>
      </c>
      <c r="D47" s="8" t="s">
        <v>170</v>
      </c>
      <c r="E47" s="18"/>
    </row>
    <row r="48" spans="1:5" x14ac:dyDescent="0.3">
      <c r="A48" s="33" t="s">
        <v>182</v>
      </c>
      <c r="B48" s="31"/>
      <c r="C48" s="31"/>
      <c r="D48" s="31"/>
      <c r="E48" s="31"/>
    </row>
    <row r="49" spans="1:5" ht="15.6" x14ac:dyDescent="0.3">
      <c r="A49" s="2" t="s">
        <v>183</v>
      </c>
      <c r="B49" s="8" t="s">
        <v>184</v>
      </c>
      <c r="C49" s="19">
        <v>3</v>
      </c>
      <c r="D49" s="8" t="s">
        <v>107</v>
      </c>
      <c r="E49" s="18" t="s">
        <v>185</v>
      </c>
    </row>
    <row r="50" spans="1:5" ht="15.6" x14ac:dyDescent="0.3">
      <c r="A50" s="2" t="s">
        <v>186</v>
      </c>
      <c r="B50" s="8" t="s">
        <v>187</v>
      </c>
      <c r="C50" s="9">
        <v>0.1</v>
      </c>
      <c r="D50" s="8"/>
      <c r="E50" s="18" t="s">
        <v>188</v>
      </c>
    </row>
    <row r="51" spans="1:5" ht="15.6" x14ac:dyDescent="0.3">
      <c r="A51" s="2" t="s">
        <v>189</v>
      </c>
      <c r="B51" s="8" t="s">
        <v>85</v>
      </c>
      <c r="C51" s="11">
        <f>1/$C$50</f>
        <v>10</v>
      </c>
      <c r="D51" s="8"/>
      <c r="E51" s="18" t="s">
        <v>190</v>
      </c>
    </row>
    <row r="52" spans="1:5" ht="15.6" x14ac:dyDescent="0.3">
      <c r="A52" s="2" t="s">
        <v>191</v>
      </c>
      <c r="B52" s="8"/>
      <c r="C52" s="22">
        <f>$C$35*$C$51</f>
        <v>20.349999999999998</v>
      </c>
      <c r="D52" s="8" t="s">
        <v>107</v>
      </c>
      <c r="E52" s="18"/>
    </row>
    <row r="53" spans="1:5" ht="15.6" x14ac:dyDescent="0.3">
      <c r="A53" s="2" t="s">
        <v>192</v>
      </c>
      <c r="B53" s="8" t="s">
        <v>193</v>
      </c>
      <c r="C53" s="11">
        <f>$C$51*($C$49*$C$35^2/2+$C$37*$C$35^3/3)</f>
        <v>80.939552420833309</v>
      </c>
      <c r="D53" s="8" t="s">
        <v>194</v>
      </c>
      <c r="E53" s="18" t="s">
        <v>195</v>
      </c>
    </row>
    <row r="54" spans="1:5" x14ac:dyDescent="0.3">
      <c r="A54" s="33" t="s">
        <v>196</v>
      </c>
      <c r="B54" s="31"/>
      <c r="C54" s="31"/>
      <c r="D54" s="31"/>
      <c r="E54" s="31"/>
    </row>
    <row r="55" spans="1:5" ht="15.6" x14ac:dyDescent="0.3">
      <c r="A55" s="2" t="s">
        <v>197</v>
      </c>
      <c r="B55" s="8"/>
      <c r="C55" s="11">
        <f>$C$35/3*($C$41+$C$44+SQRT($C$41*$C$44))</f>
        <v>3435.3413295643254</v>
      </c>
      <c r="D55" s="8" t="s">
        <v>194</v>
      </c>
      <c r="E55" s="18" t="s">
        <v>198</v>
      </c>
    </row>
    <row r="56" spans="1:5" ht="15.6" x14ac:dyDescent="0.3">
      <c r="A56" s="2" t="s">
        <v>199</v>
      </c>
      <c r="B56" s="8" t="s">
        <v>200</v>
      </c>
      <c r="C56" s="11">
        <f>$C$55+$C$53</f>
        <v>3516.2808819851589</v>
      </c>
      <c r="D56" s="8" t="s">
        <v>194</v>
      </c>
      <c r="E56" s="18"/>
    </row>
    <row r="57" spans="1:5" ht="15.6" x14ac:dyDescent="0.3">
      <c r="A57" s="2" t="s">
        <v>201</v>
      </c>
      <c r="B57" s="8" t="s">
        <v>202</v>
      </c>
      <c r="C57" s="11">
        <f>$C$41*$C$9</f>
        <v>155.58399999999997</v>
      </c>
      <c r="D57" s="8" t="s">
        <v>194</v>
      </c>
      <c r="E57" s="18" t="s">
        <v>203</v>
      </c>
    </row>
    <row r="58" spans="1:5" ht="15.6" x14ac:dyDescent="0.3">
      <c r="A58" s="2" t="s">
        <v>204</v>
      </c>
      <c r="B58" s="8" t="s">
        <v>205</v>
      </c>
      <c r="C58" s="11">
        <f>$C$47*$C$8</f>
        <v>219.18600000000001</v>
      </c>
      <c r="D58" s="8" t="s">
        <v>194</v>
      </c>
      <c r="E58" s="18" t="s">
        <v>206</v>
      </c>
    </row>
    <row r="59" spans="1:5" ht="15.6" x14ac:dyDescent="0.3">
      <c r="A59" s="2" t="s">
        <v>207</v>
      </c>
      <c r="B59" s="8" t="s">
        <v>208</v>
      </c>
      <c r="C59" s="9">
        <v>0</v>
      </c>
      <c r="D59" s="8" t="s">
        <v>194</v>
      </c>
      <c r="E59" s="18" t="s">
        <v>209</v>
      </c>
    </row>
    <row r="60" spans="1:5" ht="15.6" x14ac:dyDescent="0.3">
      <c r="A60" s="2" t="s">
        <v>210</v>
      </c>
      <c r="B60" s="8" t="s">
        <v>211</v>
      </c>
      <c r="C60" s="9">
        <v>0</v>
      </c>
      <c r="D60" s="8" t="s">
        <v>194</v>
      </c>
      <c r="E60" s="18" t="s">
        <v>212</v>
      </c>
    </row>
    <row r="61" spans="1:5" ht="15.6" x14ac:dyDescent="0.3">
      <c r="A61" s="2" t="s">
        <v>213</v>
      </c>
      <c r="B61" s="8" t="s">
        <v>214</v>
      </c>
      <c r="C61" s="11">
        <f>$C$46*$C$7</f>
        <v>569.58399999999995</v>
      </c>
      <c r="D61" s="8" t="s">
        <v>194</v>
      </c>
      <c r="E61" s="18" t="s">
        <v>215</v>
      </c>
    </row>
    <row r="62" spans="1:5" ht="15.6" x14ac:dyDescent="0.3">
      <c r="A62" s="2" t="s">
        <v>216</v>
      </c>
      <c r="B62" s="8"/>
      <c r="C62" s="22">
        <f>$C$35-$C$7-$C$8-$C$9</f>
        <v>1.3849999999999998</v>
      </c>
      <c r="D62" s="8" t="s">
        <v>107</v>
      </c>
      <c r="E62" s="18" t="s">
        <v>217</v>
      </c>
    </row>
    <row r="63" spans="1:5" ht="15.6" x14ac:dyDescent="0.3">
      <c r="A63" s="2" t="s">
        <v>218</v>
      </c>
      <c r="B63" s="8" t="s">
        <v>219</v>
      </c>
      <c r="C63" s="11">
        <f>$C$45*$C$62</f>
        <v>1845.0415999999996</v>
      </c>
      <c r="D63" s="8" t="s">
        <v>194</v>
      </c>
      <c r="E63" s="18"/>
    </row>
    <row r="64" spans="1:5" ht="15.6" x14ac:dyDescent="0.3">
      <c r="A64" s="2" t="s">
        <v>220</v>
      </c>
      <c r="B64" s="8" t="s">
        <v>221</v>
      </c>
      <c r="C64" s="11">
        <f>$C$61+$C$63</f>
        <v>2414.6255999999994</v>
      </c>
      <c r="D64" s="8" t="s">
        <v>194</v>
      </c>
      <c r="E64" s="18" t="s">
        <v>222</v>
      </c>
    </row>
    <row r="65" spans="1:8" ht="15.6" x14ac:dyDescent="0.3">
      <c r="A65" s="2" t="s">
        <v>223</v>
      </c>
      <c r="B65" s="8" t="s">
        <v>224</v>
      </c>
      <c r="C65" s="11">
        <f>$C$56-$C$64-$C$57-$C$58-$C$59-$C$60</f>
        <v>726.88528198515951</v>
      </c>
      <c r="D65" s="8" t="s">
        <v>194</v>
      </c>
      <c r="E65" s="18" t="s">
        <v>225</v>
      </c>
    </row>
    <row r="67" spans="1:8" ht="15.6" x14ac:dyDescent="0.3">
      <c r="A67" s="7" t="s">
        <v>226</v>
      </c>
    </row>
    <row r="68" spans="1:8" ht="31.2" x14ac:dyDescent="0.3">
      <c r="A68" s="6" t="s">
        <v>227</v>
      </c>
      <c r="B68" s="6" t="s">
        <v>228</v>
      </c>
      <c r="C68" s="6" t="s">
        <v>229</v>
      </c>
      <c r="D68" s="6" t="s">
        <v>230</v>
      </c>
      <c r="E68" s="6" t="s">
        <v>231</v>
      </c>
      <c r="F68" s="6" t="s">
        <v>232</v>
      </c>
      <c r="G68" s="6" t="s">
        <v>233</v>
      </c>
      <c r="H68" s="6" t="s">
        <v>11</v>
      </c>
    </row>
    <row r="69" spans="1:8" ht="15.6" x14ac:dyDescent="0.3">
      <c r="A69" s="8" t="s">
        <v>58</v>
      </c>
      <c r="B69" s="22">
        <f>-$C$31</f>
        <v>-3.008</v>
      </c>
      <c r="C69" s="22">
        <f>-$C$31</f>
        <v>-3.008</v>
      </c>
      <c r="D69" s="22">
        <f t="shared" ref="D69:D74" si="0">$C$21+B69</f>
        <v>216.99199999999999</v>
      </c>
      <c r="E69" s="22">
        <f t="shared" ref="E69:E74" si="1">$C$22+C69</f>
        <v>131.99199999999999</v>
      </c>
      <c r="F69" s="15">
        <f>(D69-$C$19)/'Исходные данные'!$B$3</f>
        <v>0.1699199999999999</v>
      </c>
      <c r="G69" s="15">
        <f>(E69-$C$20)/'Исходные данные'!$B$3</f>
        <v>0.31991999999999993</v>
      </c>
      <c r="H69" s="15">
        <f>'Исходные данные'!$B$23*(1-F69)*(1-G69)+'Исходные данные'!$B$24*F69*(1-G69)+'Исходные данные'!$B$17*(1-F69)*G69+'Исходные данные'!$B$18*F69*G69</f>
        <v>-3.926334515200007E-2</v>
      </c>
    </row>
    <row r="70" spans="1:8" ht="15.6" x14ac:dyDescent="0.3">
      <c r="A70" s="8" t="s">
        <v>60</v>
      </c>
      <c r="B70" s="22">
        <f>$C$15-$C$17+$C$31</f>
        <v>21.007999999999999</v>
      </c>
      <c r="C70" s="22">
        <f>-$C$31</f>
        <v>-3.008</v>
      </c>
      <c r="D70" s="22">
        <f t="shared" si="0"/>
        <v>241.00800000000001</v>
      </c>
      <c r="E70" s="22">
        <f t="shared" si="1"/>
        <v>131.99199999999999</v>
      </c>
      <c r="F70" s="15">
        <f>(D70-$C$19)/'Исходные данные'!$B$3</f>
        <v>0.41008000000000011</v>
      </c>
      <c r="G70" s="15">
        <f>(E70-$C$20)/'Исходные данные'!$B$3</f>
        <v>0.31991999999999993</v>
      </c>
      <c r="H70" s="15">
        <f>'Исходные данные'!$B$23*(1-F70)*(1-G70)+'Исходные данные'!$B$24*F70*(1-G70)+'Исходные данные'!$B$17*(1-F70)*G70+'Исходные данные'!$B$18*F70*G70</f>
        <v>4.7774097152000004E-2</v>
      </c>
    </row>
    <row r="71" spans="1:8" ht="15.6" x14ac:dyDescent="0.3">
      <c r="A71" s="8" t="s">
        <v>63</v>
      </c>
      <c r="B71" s="22">
        <f>$C$15-$C$17+$C$31</f>
        <v>21.007999999999999</v>
      </c>
      <c r="C71" s="22">
        <f>$C$18-$C$31</f>
        <v>8.9920000000000009</v>
      </c>
      <c r="D71" s="22">
        <f t="shared" si="0"/>
        <v>241.00800000000001</v>
      </c>
      <c r="E71" s="22">
        <f t="shared" si="1"/>
        <v>143.99199999999999</v>
      </c>
      <c r="F71" s="15">
        <f>(D71-$C$19)/'Исходные данные'!$B$3</f>
        <v>0.41008000000000011</v>
      </c>
      <c r="G71" s="15">
        <f>(E71-$C$20)/'Исходные данные'!$B$3</f>
        <v>0.43991999999999992</v>
      </c>
      <c r="H71" s="15">
        <f>'Исходные данные'!$B$23*(1-F71)*(1-G71)+'Исходные данные'!$B$24*F71*(1-G71)+'Исходные данные'!$B$17*(1-F71)*G71+'Исходные данные'!$B$18*F71*G71</f>
        <v>0.10611636915200001</v>
      </c>
    </row>
    <row r="72" spans="1:8" ht="15.6" x14ac:dyDescent="0.3">
      <c r="A72" s="8" t="s">
        <v>64</v>
      </c>
      <c r="B72" s="22">
        <f>$C$15+$C$31</f>
        <v>63.008000000000003</v>
      </c>
      <c r="C72" s="22">
        <f>$C$18-$C$31</f>
        <v>8.9920000000000009</v>
      </c>
      <c r="D72" s="22">
        <f t="shared" si="0"/>
        <v>283.00799999999998</v>
      </c>
      <c r="E72" s="22">
        <f t="shared" si="1"/>
        <v>143.99199999999999</v>
      </c>
      <c r="F72" s="15">
        <f>(D72-$C$19)/'Исходные данные'!$B$3</f>
        <v>0.83007999999999982</v>
      </c>
      <c r="G72" s="15">
        <f>(E72-$C$20)/'Исходные данные'!$B$3</f>
        <v>0.43991999999999992</v>
      </c>
      <c r="H72" s="15">
        <f>'Исходные данные'!$B$23*(1-F72)*(1-G72)+'Исходные данные'!$B$24*F72*(1-G72)+'Исходные данные'!$B$17*(1-F72)*G72+'Исходные данные'!$B$18*F72*G72</f>
        <v>0.24925841715199989</v>
      </c>
    </row>
    <row r="73" spans="1:8" ht="15.6" x14ac:dyDescent="0.3">
      <c r="A73" s="8" t="s">
        <v>65</v>
      </c>
      <c r="B73" s="22">
        <f>$C$15+$C$31</f>
        <v>63.008000000000003</v>
      </c>
      <c r="C73" s="22">
        <f>$C$16+$C$31</f>
        <v>33.008000000000003</v>
      </c>
      <c r="D73" s="22">
        <f t="shared" si="0"/>
        <v>283.00799999999998</v>
      </c>
      <c r="E73" s="22">
        <f t="shared" si="1"/>
        <v>168.00800000000001</v>
      </c>
      <c r="F73" s="15">
        <f>(D73-$C$19)/'Исходные данные'!$B$3</f>
        <v>0.83007999999999982</v>
      </c>
      <c r="G73" s="15">
        <f>(E73-$C$20)/'Исходные данные'!$B$3</f>
        <v>0.68008000000000013</v>
      </c>
      <c r="H73" s="15">
        <f>'Исходные данные'!$B$23*(1-F73)*(1-G73)+'Исходные данные'!$B$24*F73*(1-G73)+'Исходные данные'!$B$17*(1-F73)*G73+'Исходные данные'!$B$18*F73*G73</f>
        <v>0.347864654848</v>
      </c>
    </row>
    <row r="74" spans="1:8" ht="15.6" x14ac:dyDescent="0.3">
      <c r="A74" s="8" t="s">
        <v>66</v>
      </c>
      <c r="B74" s="22">
        <f>-$C$31</f>
        <v>-3.008</v>
      </c>
      <c r="C74" s="22">
        <f>$C$16+$C$31</f>
        <v>33.008000000000003</v>
      </c>
      <c r="D74" s="22">
        <f t="shared" si="0"/>
        <v>216.99199999999999</v>
      </c>
      <c r="E74" s="22">
        <f t="shared" si="1"/>
        <v>168.00800000000001</v>
      </c>
      <c r="F74" s="15">
        <f>(D74-$C$19)/'Исходные данные'!$B$3</f>
        <v>0.1699199999999999</v>
      </c>
      <c r="G74" s="15">
        <f>(E74-$C$20)/'Исходные данные'!$B$3</f>
        <v>0.68008000000000013</v>
      </c>
      <c r="H74" s="15">
        <f>'Исходные данные'!$B$23*(1-F74)*(1-G74)+'Исходные данные'!$B$24*F74*(1-G74)+'Исходные данные'!$B$17*(1-F74)*G74+'Исходные данные'!$B$18*F74*G74</f>
        <v>0.15141054515200006</v>
      </c>
    </row>
    <row r="75" spans="1:8" x14ac:dyDescent="0.3">
      <c r="A75" s="23" t="s">
        <v>234</v>
      </c>
    </row>
  </sheetData>
  <mergeCells count="6">
    <mergeCell ref="A29:E29"/>
    <mergeCell ref="A48:E48"/>
    <mergeCell ref="A54:E54"/>
    <mergeCell ref="A5:E5"/>
    <mergeCell ref="A23:E23"/>
    <mergeCell ref="A36:E36"/>
  </mergeCells>
  <pageMargins left="0.75" right="0.75" top="1" bottom="1" header="0.5" footer="0.5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E14"/>
  <sheetViews>
    <sheetView zoomScale="110" workbookViewId="0"/>
  </sheetViews>
  <sheetFormatPr defaultRowHeight="14.4" x14ac:dyDescent="0.3"/>
  <cols>
    <col min="1" max="1" width="5" customWidth="1"/>
    <col min="2" max="2" width="52" customWidth="1"/>
    <col min="3" max="5" width="16" customWidth="1"/>
  </cols>
  <sheetData>
    <row r="1" spans="1:5" ht="17.399999999999999" x14ac:dyDescent="0.3">
      <c r="A1" s="1" t="s">
        <v>235</v>
      </c>
    </row>
    <row r="2" spans="1:5" x14ac:dyDescent="0.3">
      <c r="A2" s="4" t="s">
        <v>236</v>
      </c>
    </row>
    <row r="4" spans="1:5" ht="31.2" x14ac:dyDescent="0.3">
      <c r="A4" s="6" t="s">
        <v>237</v>
      </c>
      <c r="B4" s="6" t="s">
        <v>238</v>
      </c>
      <c r="C4" s="6" t="s">
        <v>239</v>
      </c>
      <c r="D4" s="6" t="s">
        <v>240</v>
      </c>
      <c r="E4" s="6" t="s">
        <v>241</v>
      </c>
    </row>
    <row r="5" spans="1:5" ht="15.6" x14ac:dyDescent="0.3">
      <c r="A5" s="8">
        <v>1</v>
      </c>
      <c r="B5" s="2" t="s">
        <v>242</v>
      </c>
      <c r="C5" s="24">
        <f>Объёмы!$F$31</f>
        <v>20209.474960755029</v>
      </c>
      <c r="D5" s="24">
        <f>Объёмы!$F$32</f>
        <v>33543.964226867858</v>
      </c>
      <c r="E5" s="11">
        <f>D5/'Исходные данные'!$B$4</f>
        <v>32253.811756603707</v>
      </c>
    </row>
    <row r="6" spans="1:5" ht="15.6" x14ac:dyDescent="0.3">
      <c r="A6" s="8">
        <v>2</v>
      </c>
      <c r="B6" s="2" t="s">
        <v>243</v>
      </c>
      <c r="C6" s="24">
        <f>Котлован!$C$56</f>
        <v>3516.2808819851589</v>
      </c>
      <c r="D6" s="24">
        <f>Котлован!$C$65</f>
        <v>726.88528198515951</v>
      </c>
      <c r="E6" s="11">
        <f>D6/'Исходные данные'!$B$4</f>
        <v>698.92815575496104</v>
      </c>
    </row>
    <row r="7" spans="1:5" ht="15.6" x14ac:dyDescent="0.3">
      <c r="A7" s="8"/>
      <c r="B7" s="25" t="s">
        <v>244</v>
      </c>
      <c r="C7" s="16">
        <f>SUM(C5:C6)</f>
        <v>23725.755842740189</v>
      </c>
      <c r="D7" s="16">
        <f>SUM(D5:D6)</f>
        <v>34270.849508853018</v>
      </c>
      <c r="E7" s="16">
        <f>SUM(E5:E6)</f>
        <v>32952.739912358666</v>
      </c>
    </row>
    <row r="8" spans="1:5" ht="31.2" x14ac:dyDescent="0.3">
      <c r="A8" s="8"/>
      <c r="B8" s="25" t="s">
        <v>245</v>
      </c>
      <c r="C8" s="34">
        <f>C7-E7</f>
        <v>-9226.9840696184765</v>
      </c>
      <c r="D8" s="31"/>
      <c r="E8" s="31"/>
    </row>
    <row r="10" spans="1:5" ht="15.6" x14ac:dyDescent="0.3">
      <c r="A10" s="30" t="s">
        <v>246</v>
      </c>
      <c r="B10" s="31"/>
      <c r="C10" s="31"/>
      <c r="D10" s="26">
        <f>ABS(C8)/MAX(C7,E7)</f>
        <v>0.28000658197644951</v>
      </c>
    </row>
    <row r="11" spans="1:5" ht="15.6" x14ac:dyDescent="0.3">
      <c r="A11" s="30" t="s">
        <v>247</v>
      </c>
      <c r="B11" s="31"/>
      <c r="C11" s="31"/>
      <c r="D11" s="14" t="str">
        <f>IF(D10&lt;=0.05,"баланс соблюдён",IF(C8&lt;0,"не хватает грунта — нужен перерасчёт Нср (Δh)","излишек грунта — нужен перерасчёт Нср (Δh)"))</f>
        <v>не хватает грунта — нужен перерасчёт Нср (Δh)</v>
      </c>
    </row>
    <row r="12" spans="1:5" ht="15.6" x14ac:dyDescent="0.3">
      <c r="A12" s="30" t="s">
        <v>248</v>
      </c>
      <c r="B12" s="31"/>
      <c r="C12" s="31"/>
      <c r="D12" s="16">
        <f>'Исходные данные'!$B$6*'Исходные данные'!$B$3^2-IF(Котлован!$C$33="насыпи",Котлован!$C$44,0)</f>
        <v>148176.03237639001</v>
      </c>
    </row>
    <row r="13" spans="1:5" ht="15.6" x14ac:dyDescent="0.3">
      <c r="A13" s="30" t="s">
        <v>249</v>
      </c>
      <c r="B13" s="31"/>
      <c r="C13" s="31"/>
      <c r="D13" s="27">
        <f>C8/D12</f>
        <v>-6.227042202196717E-2</v>
      </c>
    </row>
    <row r="14" spans="1:5" ht="15.6" x14ac:dyDescent="0.3">
      <c r="A14" s="30" t="s">
        <v>250</v>
      </c>
      <c r="B14" s="31"/>
      <c r="C14" s="31"/>
      <c r="D14" s="28">
        <f>ROUND(D13,4)</f>
        <v>-6.2300000000000001E-2</v>
      </c>
    </row>
  </sheetData>
  <mergeCells count="6">
    <mergeCell ref="A10:C10"/>
    <mergeCell ref="A13:C13"/>
    <mergeCell ref="A11:C11"/>
    <mergeCell ref="A14:C14"/>
    <mergeCell ref="C8:E8"/>
    <mergeCell ref="A12:C12"/>
  </mergeCells>
  <pageMargins left="0.75" right="0.75" top="1" bottom="1" header="0.5" footer="0.5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32"/>
  <sheetViews>
    <sheetView zoomScale="110" workbookViewId="0"/>
  </sheetViews>
  <sheetFormatPr defaultRowHeight="14.4" x14ac:dyDescent="0.3"/>
  <cols>
    <col min="1" max="1" width="16" customWidth="1"/>
    <col min="2" max="4" width="14" customWidth="1"/>
    <col min="6" max="11" width="9" customWidth="1"/>
  </cols>
  <sheetData>
    <row r="1" spans="1:11" ht="17.399999999999999" x14ac:dyDescent="0.3">
      <c r="A1" s="1" t="s">
        <v>251</v>
      </c>
    </row>
    <row r="3" spans="1:11" ht="15.6" x14ac:dyDescent="0.3">
      <c r="A3" s="2" t="s">
        <v>252</v>
      </c>
      <c r="B3" s="13">
        <f>'Сводный баланс'!$D$14</f>
        <v>-6.2300000000000001E-2</v>
      </c>
    </row>
    <row r="8" spans="1:11" ht="31.2" x14ac:dyDescent="0.3">
      <c r="A8" s="6" t="s">
        <v>10</v>
      </c>
      <c r="B8" s="6" t="s">
        <v>11</v>
      </c>
      <c r="C8" s="6" t="s">
        <v>253</v>
      </c>
      <c r="D8" s="6" t="s">
        <v>254</v>
      </c>
      <c r="F8" s="7" t="s">
        <v>255</v>
      </c>
    </row>
    <row r="9" spans="1:11" ht="15.6" x14ac:dyDescent="0.3">
      <c r="A9" s="8" t="s">
        <v>13</v>
      </c>
      <c r="B9" s="24">
        <f>'Исходные данные'!$B$9</f>
        <v>-0.25</v>
      </c>
      <c r="C9" s="15">
        <f t="shared" ref="C9:C32" si="0">$B$3</f>
        <v>-6.2300000000000001E-2</v>
      </c>
      <c r="D9" s="15">
        <f t="shared" ref="D9:D32" si="1">B9+C9</f>
        <v>-0.31230000000000002</v>
      </c>
      <c r="F9" s="10" t="s">
        <v>13</v>
      </c>
      <c r="G9" s="10" t="s">
        <v>14</v>
      </c>
      <c r="H9" s="10" t="s">
        <v>15</v>
      </c>
      <c r="I9" s="10" t="s">
        <v>16</v>
      </c>
      <c r="J9" s="10" t="s">
        <v>17</v>
      </c>
      <c r="K9" s="10" t="s">
        <v>18</v>
      </c>
    </row>
    <row r="10" spans="1:11" ht="15.6" x14ac:dyDescent="0.3">
      <c r="A10" s="8" t="s">
        <v>14</v>
      </c>
      <c r="B10" s="24">
        <f>'Исходные данные'!$B$10</f>
        <v>0.15</v>
      </c>
      <c r="C10" s="15">
        <f t="shared" si="0"/>
        <v>-6.2300000000000001E-2</v>
      </c>
      <c r="D10" s="15">
        <f t="shared" si="1"/>
        <v>8.77E-2</v>
      </c>
      <c r="F10" s="15">
        <f>D9</f>
        <v>-0.31230000000000002</v>
      </c>
      <c r="G10" s="15">
        <f>D10</f>
        <v>8.77E-2</v>
      </c>
      <c r="H10" s="15">
        <f>D11</f>
        <v>0.2777</v>
      </c>
      <c r="I10" s="15">
        <f>D12</f>
        <v>0.40769999999999995</v>
      </c>
      <c r="J10" s="15">
        <f>D13</f>
        <v>0.59770000000000001</v>
      </c>
      <c r="K10" s="15">
        <f>D14</f>
        <v>0.78769999999999996</v>
      </c>
    </row>
    <row r="11" spans="1:11" ht="15.6" x14ac:dyDescent="0.3">
      <c r="A11" s="8" t="s">
        <v>15</v>
      </c>
      <c r="B11" s="24">
        <f>'Исходные данные'!$B$11</f>
        <v>0.34</v>
      </c>
      <c r="C11" s="15">
        <f t="shared" si="0"/>
        <v>-6.2300000000000001E-2</v>
      </c>
      <c r="D11" s="15">
        <f t="shared" si="1"/>
        <v>0.2777</v>
      </c>
      <c r="F11" s="10" t="s">
        <v>19</v>
      </c>
      <c r="G11" s="10" t="s">
        <v>20</v>
      </c>
      <c r="H11" s="10" t="s">
        <v>21</v>
      </c>
      <c r="I11" s="10" t="s">
        <v>22</v>
      </c>
      <c r="J11" s="10" t="s">
        <v>23</v>
      </c>
      <c r="K11" s="10" t="s">
        <v>24</v>
      </c>
    </row>
    <row r="12" spans="1:11" ht="15.6" x14ac:dyDescent="0.3">
      <c r="A12" s="8" t="s">
        <v>16</v>
      </c>
      <c r="B12" s="24">
        <f>'Исходные данные'!$B$12</f>
        <v>0.47</v>
      </c>
      <c r="C12" s="15">
        <f t="shared" si="0"/>
        <v>-6.2300000000000001E-2</v>
      </c>
      <c r="D12" s="15">
        <f t="shared" si="1"/>
        <v>0.40769999999999995</v>
      </c>
      <c r="F12" s="15">
        <f>D15</f>
        <v>-0.55230000000000001</v>
      </c>
      <c r="G12" s="15">
        <f>D16</f>
        <v>-0.37230000000000002</v>
      </c>
      <c r="H12" s="15">
        <f>D17</f>
        <v>0.21770000000000003</v>
      </c>
      <c r="I12" s="15">
        <f>D18</f>
        <v>0.4577</v>
      </c>
      <c r="J12" s="15">
        <f>D19</f>
        <v>0.77769999999999995</v>
      </c>
      <c r="K12" s="15">
        <f>D20</f>
        <v>0.40769999999999995</v>
      </c>
    </row>
    <row r="13" spans="1:11" ht="15.6" x14ac:dyDescent="0.3">
      <c r="A13" s="8" t="s">
        <v>17</v>
      </c>
      <c r="B13" s="24">
        <f>'Исходные данные'!$B$13</f>
        <v>0.66</v>
      </c>
      <c r="C13" s="15">
        <f t="shared" si="0"/>
        <v>-6.2300000000000001E-2</v>
      </c>
      <c r="D13" s="15">
        <f t="shared" si="1"/>
        <v>0.59770000000000001</v>
      </c>
      <c r="F13" s="10" t="s">
        <v>25</v>
      </c>
      <c r="G13" s="10" t="s">
        <v>26</v>
      </c>
      <c r="H13" s="10" t="s">
        <v>27</v>
      </c>
      <c r="I13" s="10" t="s">
        <v>28</v>
      </c>
      <c r="J13" s="10" t="s">
        <v>29</v>
      </c>
      <c r="K13" s="10" t="s">
        <v>30</v>
      </c>
    </row>
    <row r="14" spans="1:11" ht="15.6" x14ac:dyDescent="0.3">
      <c r="A14" s="8" t="s">
        <v>18</v>
      </c>
      <c r="B14" s="24">
        <f>'Исходные данные'!$B$14</f>
        <v>0.85</v>
      </c>
      <c r="C14" s="15">
        <f t="shared" si="0"/>
        <v>-6.2300000000000001E-2</v>
      </c>
      <c r="D14" s="15">
        <f t="shared" si="1"/>
        <v>0.78769999999999996</v>
      </c>
      <c r="F14" s="15">
        <f>D21</f>
        <v>-0.30230000000000001</v>
      </c>
      <c r="G14" s="15">
        <f>D22</f>
        <v>-0.49230000000000002</v>
      </c>
      <c r="H14" s="15">
        <f>D23</f>
        <v>-0.34230000000000005</v>
      </c>
      <c r="I14" s="15">
        <f>D24</f>
        <v>7.7700000000000019E-2</v>
      </c>
      <c r="J14" s="15">
        <f>D25</f>
        <v>0.29769999999999996</v>
      </c>
      <c r="K14" s="15">
        <f>D26</f>
        <v>0.69769999999999999</v>
      </c>
    </row>
    <row r="15" spans="1:11" ht="15.6" x14ac:dyDescent="0.3">
      <c r="A15" s="8" t="s">
        <v>19</v>
      </c>
      <c r="B15" s="24">
        <f>'Исходные данные'!$B$15</f>
        <v>-0.49</v>
      </c>
      <c r="C15" s="15">
        <f t="shared" si="0"/>
        <v>-6.2300000000000001E-2</v>
      </c>
      <c r="D15" s="15">
        <f t="shared" si="1"/>
        <v>-0.55230000000000001</v>
      </c>
      <c r="F15" s="10" t="s">
        <v>31</v>
      </c>
      <c r="G15" s="10" t="s">
        <v>32</v>
      </c>
      <c r="H15" s="10" t="s">
        <v>33</v>
      </c>
      <c r="I15" s="10" t="s">
        <v>34</v>
      </c>
      <c r="J15" s="10" t="s">
        <v>35</v>
      </c>
      <c r="K15" s="10" t="s">
        <v>36</v>
      </c>
    </row>
    <row r="16" spans="1:11" ht="15.6" x14ac:dyDescent="0.3">
      <c r="A16" s="8" t="s">
        <v>20</v>
      </c>
      <c r="B16" s="24">
        <f>'Исходные данные'!$B$16</f>
        <v>-0.31</v>
      </c>
      <c r="C16" s="15">
        <f t="shared" si="0"/>
        <v>-6.2300000000000001E-2</v>
      </c>
      <c r="D16" s="15">
        <f t="shared" si="1"/>
        <v>-0.37230000000000002</v>
      </c>
      <c r="F16" s="15">
        <f>D27</f>
        <v>-0.46230000000000004</v>
      </c>
      <c r="G16" s="15">
        <f>D28</f>
        <v>-0.71230000000000004</v>
      </c>
      <c r="H16" s="15">
        <f>D29</f>
        <v>-0.58230000000000004</v>
      </c>
      <c r="I16" s="15">
        <f>D30</f>
        <v>-0.34230000000000005</v>
      </c>
      <c r="J16" s="15">
        <f>D31</f>
        <v>-0.49230000000000002</v>
      </c>
      <c r="K16" s="15">
        <f>D32</f>
        <v>7.7700000000000019E-2</v>
      </c>
    </row>
    <row r="17" spans="1:4" ht="15.6" x14ac:dyDescent="0.3">
      <c r="A17" s="8" t="s">
        <v>21</v>
      </c>
      <c r="B17" s="24">
        <f>'Исходные данные'!$B$17</f>
        <v>0.28000000000000003</v>
      </c>
      <c r="C17" s="15">
        <f t="shared" si="0"/>
        <v>-6.2300000000000001E-2</v>
      </c>
      <c r="D17" s="15">
        <f t="shared" si="1"/>
        <v>0.21770000000000003</v>
      </c>
    </row>
    <row r="18" spans="1:4" ht="15.6" x14ac:dyDescent="0.3">
      <c r="A18" s="8" t="s">
        <v>22</v>
      </c>
      <c r="B18" s="24">
        <f>'Исходные данные'!$B$18</f>
        <v>0.52</v>
      </c>
      <c r="C18" s="15">
        <f t="shared" si="0"/>
        <v>-6.2300000000000001E-2</v>
      </c>
      <c r="D18" s="15">
        <f t="shared" si="1"/>
        <v>0.4577</v>
      </c>
    </row>
    <row r="19" spans="1:4" ht="15.6" x14ac:dyDescent="0.3">
      <c r="A19" s="8" t="s">
        <v>23</v>
      </c>
      <c r="B19" s="24">
        <f>'Исходные данные'!$B$19</f>
        <v>0.84</v>
      </c>
      <c r="C19" s="15">
        <f t="shared" si="0"/>
        <v>-6.2300000000000001E-2</v>
      </c>
      <c r="D19" s="15">
        <f t="shared" si="1"/>
        <v>0.77769999999999995</v>
      </c>
    </row>
    <row r="20" spans="1:4" ht="15.6" x14ac:dyDescent="0.3">
      <c r="A20" s="8" t="s">
        <v>24</v>
      </c>
      <c r="B20" s="24">
        <f>'Исходные данные'!$B$20</f>
        <v>0.47</v>
      </c>
      <c r="C20" s="15">
        <f t="shared" si="0"/>
        <v>-6.2300000000000001E-2</v>
      </c>
      <c r="D20" s="15">
        <f t="shared" si="1"/>
        <v>0.40769999999999995</v>
      </c>
    </row>
    <row r="21" spans="1:4" ht="15.6" x14ac:dyDescent="0.3">
      <c r="A21" s="8" t="s">
        <v>25</v>
      </c>
      <c r="B21" s="24">
        <f>'Исходные данные'!$B$21</f>
        <v>-0.24</v>
      </c>
      <c r="C21" s="15">
        <f t="shared" si="0"/>
        <v>-6.2300000000000001E-2</v>
      </c>
      <c r="D21" s="15">
        <f t="shared" si="1"/>
        <v>-0.30230000000000001</v>
      </c>
    </row>
    <row r="22" spans="1:4" ht="15.6" x14ac:dyDescent="0.3">
      <c r="A22" s="8" t="s">
        <v>26</v>
      </c>
      <c r="B22" s="24">
        <f>'Исходные данные'!$B$22</f>
        <v>-0.43</v>
      </c>
      <c r="C22" s="15">
        <f t="shared" si="0"/>
        <v>-6.2300000000000001E-2</v>
      </c>
      <c r="D22" s="15">
        <f t="shared" si="1"/>
        <v>-0.49230000000000002</v>
      </c>
    </row>
    <row r="23" spans="1:4" ht="15.6" x14ac:dyDescent="0.3">
      <c r="A23" s="8" t="s">
        <v>27</v>
      </c>
      <c r="B23" s="24">
        <f>'Исходные данные'!$B$23</f>
        <v>-0.28000000000000003</v>
      </c>
      <c r="C23" s="15">
        <f t="shared" si="0"/>
        <v>-6.2300000000000001E-2</v>
      </c>
      <c r="D23" s="15">
        <f t="shared" si="1"/>
        <v>-0.34230000000000005</v>
      </c>
    </row>
    <row r="24" spans="1:4" ht="15.6" x14ac:dyDescent="0.3">
      <c r="A24" s="8" t="s">
        <v>28</v>
      </c>
      <c r="B24" s="24">
        <f>'Исходные данные'!$B$24</f>
        <v>0.14000000000000001</v>
      </c>
      <c r="C24" s="15">
        <f t="shared" si="0"/>
        <v>-6.2300000000000001E-2</v>
      </c>
      <c r="D24" s="15">
        <f t="shared" si="1"/>
        <v>7.7700000000000019E-2</v>
      </c>
    </row>
    <row r="25" spans="1:4" ht="15.6" x14ac:dyDescent="0.3">
      <c r="A25" s="8" t="s">
        <v>29</v>
      </c>
      <c r="B25" s="24">
        <f>'Исходные данные'!$B$25</f>
        <v>0.36</v>
      </c>
      <c r="C25" s="15">
        <f t="shared" si="0"/>
        <v>-6.2300000000000001E-2</v>
      </c>
      <c r="D25" s="15">
        <f t="shared" si="1"/>
        <v>0.29769999999999996</v>
      </c>
    </row>
    <row r="26" spans="1:4" ht="15.6" x14ac:dyDescent="0.3">
      <c r="A26" s="8" t="s">
        <v>30</v>
      </c>
      <c r="B26" s="24">
        <f>'Исходные данные'!$B$26</f>
        <v>0.76</v>
      </c>
      <c r="C26" s="15">
        <f t="shared" si="0"/>
        <v>-6.2300000000000001E-2</v>
      </c>
      <c r="D26" s="15">
        <f t="shared" si="1"/>
        <v>0.69769999999999999</v>
      </c>
    </row>
    <row r="27" spans="1:4" ht="15.6" x14ac:dyDescent="0.3">
      <c r="A27" s="8" t="s">
        <v>31</v>
      </c>
      <c r="B27" s="24">
        <f>'Исходные данные'!$B$27</f>
        <v>-0.4</v>
      </c>
      <c r="C27" s="15">
        <f t="shared" si="0"/>
        <v>-6.2300000000000001E-2</v>
      </c>
      <c r="D27" s="15">
        <f t="shared" si="1"/>
        <v>-0.46230000000000004</v>
      </c>
    </row>
    <row r="28" spans="1:4" ht="15.6" x14ac:dyDescent="0.3">
      <c r="A28" s="8" t="s">
        <v>32</v>
      </c>
      <c r="B28" s="24">
        <f>'Исходные данные'!$B$28</f>
        <v>-0.65</v>
      </c>
      <c r="C28" s="15">
        <f t="shared" si="0"/>
        <v>-6.2300000000000001E-2</v>
      </c>
      <c r="D28" s="15">
        <f t="shared" si="1"/>
        <v>-0.71230000000000004</v>
      </c>
    </row>
    <row r="29" spans="1:4" ht="15.6" x14ac:dyDescent="0.3">
      <c r="A29" s="8" t="s">
        <v>33</v>
      </c>
      <c r="B29" s="24">
        <f>'Исходные данные'!$B$29</f>
        <v>-0.52</v>
      </c>
      <c r="C29" s="15">
        <f t="shared" si="0"/>
        <v>-6.2300000000000001E-2</v>
      </c>
      <c r="D29" s="15">
        <f t="shared" si="1"/>
        <v>-0.58230000000000004</v>
      </c>
    </row>
    <row r="30" spans="1:4" ht="15.6" x14ac:dyDescent="0.3">
      <c r="A30" s="8" t="s">
        <v>34</v>
      </c>
      <c r="B30" s="24">
        <f>'Исходные данные'!$B$30</f>
        <v>-0.28000000000000003</v>
      </c>
      <c r="C30" s="15">
        <f t="shared" si="0"/>
        <v>-6.2300000000000001E-2</v>
      </c>
      <c r="D30" s="15">
        <f t="shared" si="1"/>
        <v>-0.34230000000000005</v>
      </c>
    </row>
    <row r="31" spans="1:4" ht="15.6" x14ac:dyDescent="0.3">
      <c r="A31" s="8" t="s">
        <v>35</v>
      </c>
      <c r="B31" s="24">
        <f>'Исходные данные'!$B$31</f>
        <v>-0.43</v>
      </c>
      <c r="C31" s="15">
        <f t="shared" si="0"/>
        <v>-6.2300000000000001E-2</v>
      </c>
      <c r="D31" s="15">
        <f t="shared" si="1"/>
        <v>-0.49230000000000002</v>
      </c>
    </row>
    <row r="32" spans="1:4" ht="15.6" x14ac:dyDescent="0.3">
      <c r="A32" s="8" t="s">
        <v>36</v>
      </c>
      <c r="B32" s="24">
        <f>'Исходные данные'!$B$32</f>
        <v>0.14000000000000001</v>
      </c>
      <c r="C32" s="15">
        <f t="shared" si="0"/>
        <v>-6.2300000000000001E-2</v>
      </c>
      <c r="D32" s="15">
        <f t="shared" si="1"/>
        <v>7.7700000000000019E-2</v>
      </c>
    </row>
  </sheetData>
  <pageMargins left="0.75" right="0.75" top="1" bottom="1" header="0.5" footer="0.5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12"/>
  <sheetViews>
    <sheetView zoomScale="110" workbookViewId="0"/>
  </sheetViews>
  <sheetFormatPr defaultRowHeight="14.4" x14ac:dyDescent="0.3"/>
  <cols>
    <col min="1" max="1" width="7" customWidth="1"/>
    <col min="2" max="2" width="16" customWidth="1"/>
    <col min="3" max="3" width="11" customWidth="1"/>
    <col min="4" max="4" width="10" customWidth="1"/>
    <col min="5" max="5" width="11" customWidth="1"/>
    <col min="6" max="6" width="10" customWidth="1"/>
    <col min="7" max="8" width="18" customWidth="1"/>
  </cols>
  <sheetData>
    <row r="1" spans="1:8" ht="17.399999999999999" x14ac:dyDescent="0.3">
      <c r="A1" s="1" t="s">
        <v>256</v>
      </c>
    </row>
    <row r="2" spans="1:8" ht="15.6" x14ac:dyDescent="0.3">
      <c r="A2" s="12" t="s">
        <v>38</v>
      </c>
    </row>
    <row r="4" spans="1:8" ht="31.2" x14ac:dyDescent="0.3">
      <c r="A4" s="6" t="s">
        <v>39</v>
      </c>
      <c r="B4" s="6" t="s">
        <v>40</v>
      </c>
      <c r="C4" s="6" t="s">
        <v>41</v>
      </c>
      <c r="D4" s="6" t="s">
        <v>42</v>
      </c>
      <c r="E4" s="6" t="s">
        <v>43</v>
      </c>
      <c r="F4" s="6" t="s">
        <v>44</v>
      </c>
      <c r="G4" s="6" t="s">
        <v>45</v>
      </c>
      <c r="H4" s="6" t="s">
        <v>46</v>
      </c>
    </row>
    <row r="5" spans="1:8" ht="31.2" x14ac:dyDescent="0.3">
      <c r="A5" s="8">
        <v>1</v>
      </c>
      <c r="B5" s="8" t="s">
        <v>47</v>
      </c>
      <c r="C5" s="8" t="s">
        <v>13</v>
      </c>
      <c r="D5" s="13">
        <f>'Отметки (оконч.)'!$D$9</f>
        <v>-0.31230000000000002</v>
      </c>
      <c r="E5" s="8" t="s">
        <v>14</v>
      </c>
      <c r="F5" s="13">
        <f>'Отметки (оконч.)'!$D$10</f>
        <v>8.77E-2</v>
      </c>
      <c r="G5" s="11">
        <f>'Исходные данные'!$B$3*ABS(D5)/(ABS(D5)+ABS(F5))</f>
        <v>78.075000000000003</v>
      </c>
      <c r="H5" s="11">
        <f>'Исходные данные'!$B$3-G5</f>
        <v>21.924999999999997</v>
      </c>
    </row>
    <row r="6" spans="1:8" ht="15.6" x14ac:dyDescent="0.3">
      <c r="A6" s="8">
        <v>2</v>
      </c>
      <c r="B6" s="8" t="s">
        <v>48</v>
      </c>
      <c r="C6" s="8" t="s">
        <v>14</v>
      </c>
      <c r="D6" s="13">
        <f>'Отметки (оконч.)'!$D$10</f>
        <v>8.77E-2</v>
      </c>
      <c r="E6" s="8" t="s">
        <v>20</v>
      </c>
      <c r="F6" s="13">
        <f>'Отметки (оконч.)'!$D$16</f>
        <v>-0.37230000000000002</v>
      </c>
      <c r="G6" s="11">
        <f>'Исходные данные'!$B$3*ABS(D6)/(ABS(D6)+ABS(F6))</f>
        <v>19.065217391304348</v>
      </c>
      <c r="H6" s="11">
        <f>'Исходные данные'!$B$3-G6</f>
        <v>80.934782608695656</v>
      </c>
    </row>
    <row r="7" spans="1:8" ht="31.2" x14ac:dyDescent="0.3">
      <c r="A7" s="8">
        <v>3</v>
      </c>
      <c r="B7" s="8" t="s">
        <v>47</v>
      </c>
      <c r="C7" s="8" t="s">
        <v>20</v>
      </c>
      <c r="D7" s="13">
        <f>'Отметки (оконч.)'!$D$16</f>
        <v>-0.37230000000000002</v>
      </c>
      <c r="E7" s="8" t="s">
        <v>21</v>
      </c>
      <c r="F7" s="13">
        <f>'Отметки (оконч.)'!$D$17</f>
        <v>0.21770000000000003</v>
      </c>
      <c r="G7" s="11">
        <f>'Исходные данные'!$B$3*ABS(D7)/(ABS(D7)+ABS(F7))</f>
        <v>63.101694915254235</v>
      </c>
      <c r="H7" s="11">
        <f>'Исходные данные'!$B$3-G7</f>
        <v>36.898305084745765</v>
      </c>
    </row>
    <row r="8" spans="1:8" ht="15.6" x14ac:dyDescent="0.3">
      <c r="A8" s="8">
        <v>4</v>
      </c>
      <c r="B8" s="8" t="s">
        <v>48</v>
      </c>
      <c r="C8" s="8" t="s">
        <v>21</v>
      </c>
      <c r="D8" s="13">
        <f>'Отметки (оконч.)'!$D$17</f>
        <v>0.21770000000000003</v>
      </c>
      <c r="E8" s="8" t="s">
        <v>27</v>
      </c>
      <c r="F8" s="13">
        <f>'Отметки (оконч.)'!$D$23</f>
        <v>-0.34230000000000005</v>
      </c>
      <c r="G8" s="11">
        <f>'Исходные данные'!$B$3*ABS(D8)/(ABS(D8)+ABS(F8))</f>
        <v>38.875</v>
      </c>
      <c r="H8" s="11">
        <f>'Исходные данные'!$B$3-G8</f>
        <v>61.125</v>
      </c>
    </row>
    <row r="9" spans="1:8" ht="31.2" x14ac:dyDescent="0.3">
      <c r="A9" s="8">
        <v>5</v>
      </c>
      <c r="B9" s="8" t="s">
        <v>47</v>
      </c>
      <c r="C9" s="8" t="s">
        <v>27</v>
      </c>
      <c r="D9" s="13">
        <f>'Отметки (оконч.)'!$D$23</f>
        <v>-0.34230000000000005</v>
      </c>
      <c r="E9" s="8" t="s">
        <v>28</v>
      </c>
      <c r="F9" s="13">
        <f>'Отметки (оконч.)'!$D$24</f>
        <v>7.7700000000000019E-2</v>
      </c>
      <c r="G9" s="11">
        <f>'Исходные данные'!$B$3*ABS(D9)/(ABS(D9)+ABS(F9))</f>
        <v>81.5</v>
      </c>
      <c r="H9" s="11">
        <f>'Исходные данные'!$B$3-G9</f>
        <v>18.5</v>
      </c>
    </row>
    <row r="10" spans="1:8" ht="15.6" x14ac:dyDescent="0.3">
      <c r="A10" s="8">
        <v>6</v>
      </c>
      <c r="B10" s="8" t="s">
        <v>48</v>
      </c>
      <c r="C10" s="8" t="s">
        <v>28</v>
      </c>
      <c r="D10" s="13">
        <f>'Отметки (оконч.)'!$D$24</f>
        <v>7.7700000000000019E-2</v>
      </c>
      <c r="E10" s="8" t="s">
        <v>34</v>
      </c>
      <c r="F10" s="13">
        <f>'Отметки (оконч.)'!$D$30</f>
        <v>-0.34230000000000005</v>
      </c>
      <c r="G10" s="11">
        <f>'Исходные данные'!$B$3*ABS(D10)/(ABS(D10)+ABS(F10))</f>
        <v>18.500000000000004</v>
      </c>
      <c r="H10" s="11">
        <f>'Исходные данные'!$B$3-G10</f>
        <v>81.5</v>
      </c>
    </row>
    <row r="11" spans="1:8" ht="15.6" x14ac:dyDescent="0.3">
      <c r="A11" s="8">
        <v>7</v>
      </c>
      <c r="B11" s="8" t="s">
        <v>48</v>
      </c>
      <c r="C11" s="8" t="s">
        <v>29</v>
      </c>
      <c r="D11" s="13">
        <f>'Отметки (оконч.)'!$D$25</f>
        <v>0.29769999999999996</v>
      </c>
      <c r="E11" s="8" t="s">
        <v>35</v>
      </c>
      <c r="F11" s="13">
        <f>'Отметки (оконч.)'!$D$31</f>
        <v>-0.49230000000000002</v>
      </c>
      <c r="G11" s="11">
        <f>'Исходные данные'!$B$3*ABS(D11)/(ABS(D11)+ABS(F11))</f>
        <v>37.683544303797461</v>
      </c>
      <c r="H11" s="11">
        <f>'Исходные данные'!$B$3-G11</f>
        <v>62.316455696202539</v>
      </c>
    </row>
    <row r="12" spans="1:8" ht="31.2" x14ac:dyDescent="0.3">
      <c r="A12" s="8">
        <v>8</v>
      </c>
      <c r="B12" s="8" t="s">
        <v>47</v>
      </c>
      <c r="C12" s="8" t="s">
        <v>35</v>
      </c>
      <c r="D12" s="13">
        <f>'Отметки (оконч.)'!$D$31</f>
        <v>-0.49230000000000002</v>
      </c>
      <c r="E12" s="8" t="s">
        <v>36</v>
      </c>
      <c r="F12" s="13">
        <f>'Отметки (оконч.)'!$D$32</f>
        <v>7.7700000000000019E-2</v>
      </c>
      <c r="G12" s="11">
        <f>'Исходные данные'!$B$3*ABS(D12)/(ABS(D12)+ABS(F12))</f>
        <v>86.368421052631575</v>
      </c>
      <c r="H12" s="11">
        <f>'Исходные данные'!$B$3-G12</f>
        <v>13.631578947368425</v>
      </c>
    </row>
  </sheetData>
  <pageMargins left="0.75" right="0.75" top="1" bottom="1" header="0.5" footer="0.5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I33"/>
  <sheetViews>
    <sheetView zoomScale="110" workbookViewId="0"/>
  </sheetViews>
  <sheetFormatPr defaultRowHeight="14.4" x14ac:dyDescent="0.3"/>
  <cols>
    <col min="1" max="1" width="10" customWidth="1"/>
    <col min="2" max="2" width="11" customWidth="1"/>
    <col min="3" max="3" width="9" customWidth="1"/>
    <col min="4" max="4" width="11" customWidth="1"/>
    <col min="5" max="5" width="10" customWidth="1"/>
    <col min="6" max="6" width="11" customWidth="1"/>
    <col min="7" max="7" width="9" customWidth="1"/>
    <col min="8" max="8" width="11" customWidth="1"/>
    <col min="9" max="9" width="13" customWidth="1"/>
  </cols>
  <sheetData>
    <row r="1" spans="1:9" ht="17.399999999999999" x14ac:dyDescent="0.3">
      <c r="A1" s="1" t="s">
        <v>257</v>
      </c>
    </row>
    <row r="2" spans="1:9" ht="15.6" x14ac:dyDescent="0.3">
      <c r="A2" s="12" t="s">
        <v>50</v>
      </c>
    </row>
    <row r="4" spans="1:9" x14ac:dyDescent="0.3">
      <c r="A4" s="32" t="s">
        <v>51</v>
      </c>
      <c r="B4" s="31"/>
      <c r="C4" s="31"/>
      <c r="D4" s="31"/>
      <c r="E4" s="32" t="s">
        <v>52</v>
      </c>
      <c r="F4" s="31"/>
      <c r="G4" s="31"/>
      <c r="H4" s="31"/>
      <c r="I4" s="31"/>
    </row>
    <row r="5" spans="1:9" ht="31.95" customHeight="1" x14ac:dyDescent="0.3">
      <c r="A5" s="6" t="s">
        <v>53</v>
      </c>
      <c r="B5" s="6" t="s">
        <v>54</v>
      </c>
      <c r="C5" s="6" t="s">
        <v>55</v>
      </c>
      <c r="D5" s="6" t="s">
        <v>56</v>
      </c>
      <c r="E5" s="6" t="s">
        <v>53</v>
      </c>
      <c r="F5" s="6" t="s">
        <v>54</v>
      </c>
      <c r="G5" s="6" t="s">
        <v>55</v>
      </c>
      <c r="H5" s="6" t="s">
        <v>56</v>
      </c>
      <c r="I5" s="6" t="s">
        <v>57</v>
      </c>
    </row>
    <row r="6" spans="1:9" ht="15.6" x14ac:dyDescent="0.3">
      <c r="A6" s="14" t="s">
        <v>58</v>
      </c>
      <c r="B6" s="11">
        <f>'Исходные данные'!$B$3^2-$F$6</f>
        <v>9790.9975543478267</v>
      </c>
      <c r="C6" s="15">
        <f>(0+ABS('Отметки (оконч.)'!$D$9)+ABS('Отметки (оконч.)'!$D$15)+ABS('Отметки (оконч.)'!$D$16)+0)/5</f>
        <v>0.24738000000000002</v>
      </c>
      <c r="D6" s="11">
        <f>B6*C6</f>
        <v>2422.0969749945657</v>
      </c>
      <c r="E6" s="14" t="s">
        <v>59</v>
      </c>
      <c r="F6" s="11">
        <f>'ЛНР (оконч.)'!$G$6*'ЛНР (оконч.)'!$H$5/2</f>
        <v>209.00244565217389</v>
      </c>
      <c r="G6" s="15">
        <f>(0+ABS('Отметки (оконч.)'!$D$10)+0)/3</f>
        <v>2.9233333333333333E-2</v>
      </c>
      <c r="H6" s="11">
        <f>F6*G6</f>
        <v>6.1098381612318837</v>
      </c>
      <c r="I6" s="11">
        <f>H6/'Исходные данные'!$B$4</f>
        <v>5.8748443857998884</v>
      </c>
    </row>
    <row r="7" spans="1:9" ht="15.6" x14ac:dyDescent="0.3">
      <c r="A7" s="14" t="s">
        <v>60</v>
      </c>
      <c r="B7" s="11">
        <f>'ЛНР (оконч.)'!$H$6*'ЛНР (оконч.)'!$G$7/2</f>
        <v>2553.5609801031687</v>
      </c>
      <c r="C7" s="15">
        <f>(0+ABS('Отметки (оконч.)'!$D$16)+0)/3</f>
        <v>0.1241</v>
      </c>
      <c r="D7" s="11">
        <f>B7*C7</f>
        <v>316.89691763080327</v>
      </c>
      <c r="E7" s="14" t="s">
        <v>61</v>
      </c>
      <c r="F7" s="11">
        <f>'Исходные данные'!$B$3^2-$B$7</f>
        <v>7446.4390198968313</v>
      </c>
      <c r="G7" s="15">
        <f>(0+ABS('Отметки (оконч.)'!$D$17)+ABS('Отметки (оконч.)'!$D$11)+ABS('Отметки (оконч.)'!$D$10)+0)/5</f>
        <v>0.11662000000000002</v>
      </c>
      <c r="H7" s="11">
        <f>F7*G7</f>
        <v>868.40371850036854</v>
      </c>
      <c r="I7" s="11">
        <f>H7/'Исходные данные'!$B$4</f>
        <v>835.00357548112356</v>
      </c>
    </row>
    <row r="8" spans="1:9" ht="15.6" x14ac:dyDescent="0.3">
      <c r="A8" s="8" t="s">
        <v>62</v>
      </c>
      <c r="B8" s="8" t="s">
        <v>62</v>
      </c>
      <c r="C8" s="8" t="s">
        <v>62</v>
      </c>
      <c r="D8" s="8" t="s">
        <v>62</v>
      </c>
      <c r="E8" s="14" t="s">
        <v>63</v>
      </c>
      <c r="F8" s="11">
        <f>'Исходные данные'!$B$3^2</f>
        <v>10000</v>
      </c>
      <c r="G8" s="15">
        <f>(ABS('Отметки (оконч.)'!$D$17)+ABS('Отметки (оконч.)'!$D$18)+ABS('Отметки (оконч.)'!$D$12)+ABS('Отметки (оконч.)'!$D$11))/4</f>
        <v>0.3402</v>
      </c>
      <c r="H8" s="11">
        <f>F8*G8</f>
        <v>3402</v>
      </c>
      <c r="I8" s="11">
        <f>H8/'Исходные данные'!$B$4</f>
        <v>3271.1538461538462</v>
      </c>
    </row>
    <row r="9" spans="1:9" ht="15.6" x14ac:dyDescent="0.3">
      <c r="A9" s="8" t="s">
        <v>62</v>
      </c>
      <c r="B9" s="8" t="s">
        <v>62</v>
      </c>
      <c r="C9" s="8" t="s">
        <v>62</v>
      </c>
      <c r="D9" s="8" t="s">
        <v>62</v>
      </c>
      <c r="E9" s="14" t="s">
        <v>64</v>
      </c>
      <c r="F9" s="11">
        <f>'Исходные данные'!$B$3^2</f>
        <v>10000</v>
      </c>
      <c r="G9" s="15">
        <f>(ABS('Отметки (оконч.)'!$D$18)+ABS('Отметки (оконч.)'!$D$19)+ABS('Отметки (оконч.)'!$D$13)+ABS('Отметки (оконч.)'!$D$12))/4</f>
        <v>0.56020000000000003</v>
      </c>
      <c r="H9" s="11">
        <f>F9*G9</f>
        <v>5602</v>
      </c>
      <c r="I9" s="11">
        <f>H9/'Исходные данные'!$B$4</f>
        <v>5386.538461538461</v>
      </c>
    </row>
    <row r="10" spans="1:9" ht="15.6" x14ac:dyDescent="0.3">
      <c r="A10" s="8" t="s">
        <v>62</v>
      </c>
      <c r="B10" s="8" t="s">
        <v>62</v>
      </c>
      <c r="C10" s="8" t="s">
        <v>62</v>
      </c>
      <c r="D10" s="8" t="s">
        <v>62</v>
      </c>
      <c r="E10" s="14" t="s">
        <v>65</v>
      </c>
      <c r="F10" s="11">
        <f>'Исходные данные'!$B$3^2</f>
        <v>10000</v>
      </c>
      <c r="G10" s="15">
        <f>(ABS('Отметки (оконч.)'!$D$19)+ABS('Отметки (оконч.)'!$D$20)+ABS('Отметки (оконч.)'!$D$14)+ABS('Отметки (оконч.)'!$D$13))/4</f>
        <v>0.64270000000000005</v>
      </c>
      <c r="H10" s="11">
        <f>F10*G10</f>
        <v>6427.0000000000009</v>
      </c>
      <c r="I10" s="11">
        <f>H10/'Исходные данные'!$B$4</f>
        <v>6179.8076923076933</v>
      </c>
    </row>
    <row r="11" spans="1:9" ht="15.6" x14ac:dyDescent="0.3">
      <c r="A11" s="14" t="s">
        <v>66</v>
      </c>
      <c r="B11" s="11">
        <f>'Исходные данные'!$B$3^2</f>
        <v>10000</v>
      </c>
      <c r="C11" s="15">
        <f>(ABS('Отметки (оконч.)'!$D$21)+ABS('Отметки (оконч.)'!$D$22)+ABS('Отметки (оконч.)'!$D$16)+ABS('Отметки (оконч.)'!$D$15))/4</f>
        <v>0.42980000000000002</v>
      </c>
      <c r="D11" s="11">
        <f>B11*C11</f>
        <v>4298</v>
      </c>
      <c r="E11" s="8" t="s">
        <v>62</v>
      </c>
      <c r="F11" s="8" t="s">
        <v>62</v>
      </c>
      <c r="G11" s="8" t="s">
        <v>62</v>
      </c>
      <c r="H11" s="8" t="s">
        <v>62</v>
      </c>
      <c r="I11" s="8" t="s">
        <v>62</v>
      </c>
    </row>
    <row r="12" spans="1:9" ht="15.6" x14ac:dyDescent="0.3">
      <c r="A12" s="14" t="s">
        <v>67</v>
      </c>
      <c r="B12" s="11">
        <f>'Исходные данные'!$B$3^2-$F$12</f>
        <v>9282.7891949152545</v>
      </c>
      <c r="C12" s="15">
        <f>(0+ABS('Отметки (оконч.)'!$D$16)+ABS('Отметки (оконч.)'!$D$22)+ABS('Отметки (оконч.)'!$D$23)+0)/5</f>
        <v>0.24138000000000001</v>
      </c>
      <c r="D12" s="11">
        <f>B12*C12</f>
        <v>2240.6796558686442</v>
      </c>
      <c r="E12" s="14" t="s">
        <v>68</v>
      </c>
      <c r="F12" s="11">
        <f>'ЛНР (оконч.)'!$G$8*'ЛНР (оконч.)'!$H$7/2</f>
        <v>717.21080508474586</v>
      </c>
      <c r="G12" s="15">
        <f>(0+ABS('Отметки (оконч.)'!$D$17)+0)/3</f>
        <v>7.2566666666666682E-2</v>
      </c>
      <c r="H12" s="11">
        <f>F12*G12</f>
        <v>52.045597422316405</v>
      </c>
      <c r="I12" s="11">
        <f>H12/'Исходные данные'!$B$4</f>
        <v>50.043843675304231</v>
      </c>
    </row>
    <row r="13" spans="1:9" ht="15.6" x14ac:dyDescent="0.3">
      <c r="A13" s="14" t="s">
        <v>69</v>
      </c>
      <c r="B13" s="11">
        <f>'ЛНР (оконч.)'!$H$8*'ЛНР (оконч.)'!$G$9/2</f>
        <v>2490.84375</v>
      </c>
      <c r="C13" s="15">
        <f>(0+ABS('Отметки (оконч.)'!$D$23)+0)/3</f>
        <v>0.11410000000000002</v>
      </c>
      <c r="D13" s="11">
        <f>B13*C13</f>
        <v>284.20527187500005</v>
      </c>
      <c r="E13" s="14" t="s">
        <v>70</v>
      </c>
      <c r="F13" s="11">
        <f>'Исходные данные'!$B$3^2-$B$13</f>
        <v>7509.15625</v>
      </c>
      <c r="G13" s="15">
        <f>(0+ABS('Отметки (оконч.)'!$D$24)+ABS('Отметки (оконч.)'!$D$18)+ABS('Отметки (оконч.)'!$D$17)+0)/5</f>
        <v>0.15062</v>
      </c>
      <c r="H13" s="11">
        <f>F13*G13</f>
        <v>1131.0291143750001</v>
      </c>
      <c r="I13" s="11">
        <f>H13/'Исходные данные'!$B$4</f>
        <v>1087.5279945913462</v>
      </c>
    </row>
    <row r="14" spans="1:9" ht="15.6" x14ac:dyDescent="0.3">
      <c r="A14" s="8" t="s">
        <v>62</v>
      </c>
      <c r="B14" s="8" t="s">
        <v>62</v>
      </c>
      <c r="C14" s="8" t="s">
        <v>62</v>
      </c>
      <c r="D14" s="8" t="s">
        <v>62</v>
      </c>
      <c r="E14" s="14" t="s">
        <v>71</v>
      </c>
      <c r="F14" s="11">
        <f>'Исходные данные'!$B$3^2</f>
        <v>10000</v>
      </c>
      <c r="G14" s="15">
        <f>(ABS('Отметки (оконч.)'!$D$24)+ABS('Отметки (оконч.)'!$D$25)+ABS('Отметки (оконч.)'!$D$19)+ABS('Отметки (оконч.)'!$D$18))/4</f>
        <v>0.40269999999999995</v>
      </c>
      <c r="H14" s="11">
        <f>F14*G14</f>
        <v>4026.9999999999995</v>
      </c>
      <c r="I14" s="11">
        <f>H14/'Исходные данные'!$B$4</f>
        <v>3872.1153846153838</v>
      </c>
    </row>
    <row r="15" spans="1:9" ht="15.6" x14ac:dyDescent="0.3">
      <c r="A15" s="8" t="s">
        <v>62</v>
      </c>
      <c r="B15" s="8" t="s">
        <v>62</v>
      </c>
      <c r="C15" s="8" t="s">
        <v>62</v>
      </c>
      <c r="D15" s="8" t="s">
        <v>62</v>
      </c>
      <c r="E15" s="14" t="s">
        <v>72</v>
      </c>
      <c r="F15" s="11">
        <f>'Исходные данные'!$B$3^2</f>
        <v>10000</v>
      </c>
      <c r="G15" s="15">
        <f>(ABS('Отметки (оконч.)'!$D$25)+ABS('Отметки (оконч.)'!$D$26)+ABS('Отметки (оконч.)'!$D$20)+ABS('Отметки (оконч.)'!$D$19))/4</f>
        <v>0.54519999999999991</v>
      </c>
      <c r="H15" s="11">
        <f>F15*G15</f>
        <v>5451.9999999999991</v>
      </c>
      <c r="I15" s="11">
        <f>H15/'Исходные данные'!$B$4</f>
        <v>5242.3076923076915</v>
      </c>
    </row>
    <row r="16" spans="1:9" ht="15.6" x14ac:dyDescent="0.3">
      <c r="A16" s="14" t="s">
        <v>73</v>
      </c>
      <c r="B16" s="11">
        <f>'Исходные данные'!$B$3^2</f>
        <v>10000</v>
      </c>
      <c r="C16" s="15">
        <f>(ABS('Отметки (оконч.)'!$D$27)+ABS('Отметки (оконч.)'!$D$28)+ABS('Отметки (оконч.)'!$D$22)+ABS('Отметки (оконч.)'!$D$21))/4</f>
        <v>0.49230000000000002</v>
      </c>
      <c r="D16" s="11">
        <f>B16*C16</f>
        <v>4923</v>
      </c>
      <c r="E16" s="8" t="s">
        <v>62</v>
      </c>
      <c r="F16" s="8" t="s">
        <v>62</v>
      </c>
      <c r="G16" s="8" t="s">
        <v>62</v>
      </c>
      <c r="H16" s="8" t="s">
        <v>62</v>
      </c>
      <c r="I16" s="8" t="s">
        <v>62</v>
      </c>
    </row>
    <row r="17" spans="1:9" ht="15.6" x14ac:dyDescent="0.3">
      <c r="A17" s="14" t="s">
        <v>74</v>
      </c>
      <c r="B17" s="11">
        <f>'Исходные данные'!$B$3^2</f>
        <v>10000</v>
      </c>
      <c r="C17" s="15">
        <f>(ABS('Отметки (оконч.)'!$D$28)+ABS('Отметки (оконч.)'!$D$29)+ABS('Отметки (оконч.)'!$D$23)+ABS('Отметки (оконч.)'!$D$22))/4</f>
        <v>0.5323</v>
      </c>
      <c r="D17" s="11">
        <f>B17*C17</f>
        <v>5323</v>
      </c>
      <c r="E17" s="8" t="s">
        <v>62</v>
      </c>
      <c r="F17" s="8" t="s">
        <v>62</v>
      </c>
      <c r="G17" s="8" t="s">
        <v>62</v>
      </c>
      <c r="H17" s="8" t="s">
        <v>62</v>
      </c>
      <c r="I17" s="8" t="s">
        <v>62</v>
      </c>
    </row>
    <row r="18" spans="1:9" ht="15.6" x14ac:dyDescent="0.3">
      <c r="A18" s="14" t="s">
        <v>75</v>
      </c>
      <c r="B18" s="11">
        <f>'Исходные данные'!$B$3^2-$F$18</f>
        <v>9828.875</v>
      </c>
      <c r="C18" s="15">
        <f>(0+ABS('Отметки (оконч.)'!$D$23)+ABS('Отметки (оконч.)'!$D$29)+ABS('Отметки (оконч.)'!$D$30)+0)/5</f>
        <v>0.25338000000000005</v>
      </c>
      <c r="D18" s="11">
        <f>B18*C18</f>
        <v>2490.4403475000004</v>
      </c>
      <c r="E18" s="14" t="s">
        <v>76</v>
      </c>
      <c r="F18" s="11">
        <f>'ЛНР (оконч.)'!$G$10*'ЛНР (оконч.)'!$H$9/2</f>
        <v>171.12500000000003</v>
      </c>
      <c r="G18" s="15">
        <f>(0+ABS('Отметки (оконч.)'!$D$24)+0)/3</f>
        <v>2.5900000000000006E-2</v>
      </c>
      <c r="H18" s="11">
        <f>F18*G18</f>
        <v>4.4321375000000014</v>
      </c>
      <c r="I18" s="11">
        <f>H18/'Исходные данные'!$B$4</f>
        <v>4.2616706730769245</v>
      </c>
    </row>
    <row r="19" spans="1:9" ht="15.6" x14ac:dyDescent="0.3">
      <c r="A19" s="14" t="s">
        <v>77</v>
      </c>
      <c r="B19" s="11">
        <f>('ЛНР (оконч.)'!$H$10+'ЛНР (оконч.)'!$H$11)/2*'Исходные данные'!$B$3</f>
        <v>7190.822784810126</v>
      </c>
      <c r="C19" s="15">
        <f>(0+ABS('Отметки (оконч.)'!$D$30)+ABS('Отметки (оконч.)'!$D$31)+0)/4</f>
        <v>0.20865</v>
      </c>
      <c r="D19" s="11">
        <f>B19*C19</f>
        <v>1500.3651740506327</v>
      </c>
      <c r="E19" s="14" t="s">
        <v>78</v>
      </c>
      <c r="F19" s="11">
        <f>('ЛНР (оконч.)'!$G$11+'ЛНР (оконч.)'!$G$10)/2*'Исходные данные'!$B$3</f>
        <v>2809.1772151898731</v>
      </c>
      <c r="G19" s="15">
        <f>(0+ABS('Отметки (оконч.)'!$D$25)+ABS('Отметки (оконч.)'!$D$24)+0)/4</f>
        <v>9.3849999999999989E-2</v>
      </c>
      <c r="H19" s="11">
        <f>F19*G19</f>
        <v>263.64128164556956</v>
      </c>
      <c r="I19" s="11">
        <f>H19/'Исходные данные'!$B$4</f>
        <v>253.50123235150917</v>
      </c>
    </row>
    <row r="20" spans="1:9" ht="15.6" x14ac:dyDescent="0.3">
      <c r="A20" s="14" t="s">
        <v>79</v>
      </c>
      <c r="B20" s="11">
        <f>'ЛНР (оконч.)'!$H$11*'ЛНР (оконч.)'!$G$12/2</f>
        <v>2691.0869420386412</v>
      </c>
      <c r="C20" s="15">
        <f>(0+ABS('Отметки (оконч.)'!$D$31)+0)/3</f>
        <v>0.1641</v>
      </c>
      <c r="D20" s="11">
        <f>B20*C20</f>
        <v>441.60736718854099</v>
      </c>
      <c r="E20" s="14" t="s">
        <v>80</v>
      </c>
      <c r="F20" s="11">
        <f>'Исходные данные'!$B$3^2-$B$20</f>
        <v>7308.9130579613593</v>
      </c>
      <c r="G20" s="15">
        <f>(0+ABS('Отметки (оконч.)'!$D$32)+ABS('Отметки (оконч.)'!$D$26)+ABS('Отметки (оконч.)'!$D$25)+0)/5</f>
        <v>0.21461999999999998</v>
      </c>
      <c r="H20" s="11">
        <f>F20*G20</f>
        <v>1568.6389204996667</v>
      </c>
      <c r="I20" s="11">
        <f>H20/'Исходные данные'!$B$4</f>
        <v>1508.3066543266025</v>
      </c>
    </row>
    <row r="21" spans="1:9" ht="15.6" x14ac:dyDescent="0.3">
      <c r="A21" s="14" t="s">
        <v>81</v>
      </c>
      <c r="B21" s="16">
        <f>SUM(B6:B20)</f>
        <v>73828.976206215026</v>
      </c>
      <c r="C21" s="8"/>
      <c r="D21" s="16">
        <f>SUM(D6:D20)</f>
        <v>24240.291709108187</v>
      </c>
      <c r="E21" s="14" t="s">
        <v>81</v>
      </c>
      <c r="F21" s="16">
        <f>SUM(F6:F20)</f>
        <v>76171.023793784989</v>
      </c>
      <c r="G21" s="8"/>
      <c r="H21" s="16">
        <f>SUM(H6:H20)</f>
        <v>28804.300608104153</v>
      </c>
      <c r="I21" s="16">
        <f>SUM(I6:I20)</f>
        <v>27696.442892407838</v>
      </c>
    </row>
    <row r="23" spans="1:9" ht="15.6" x14ac:dyDescent="0.3">
      <c r="A23" s="7" t="s">
        <v>82</v>
      </c>
    </row>
    <row r="24" spans="1:9" ht="15.6" x14ac:dyDescent="0.3">
      <c r="A24" s="6" t="s">
        <v>83</v>
      </c>
      <c r="B24" s="6" t="s">
        <v>84</v>
      </c>
      <c r="C24" s="6" t="s">
        <v>85</v>
      </c>
      <c r="D24" s="6" t="s">
        <v>86</v>
      </c>
      <c r="E24" s="6" t="s">
        <v>87</v>
      </c>
      <c r="F24" s="6" t="s">
        <v>88</v>
      </c>
    </row>
    <row r="25" spans="1:9" ht="15.6" x14ac:dyDescent="0.3">
      <c r="A25" s="8" t="s">
        <v>89</v>
      </c>
      <c r="B25" s="15">
        <f>ABS('Отметки (оконч.)'!$D$9)+ABS('Отметки (оконч.)'!$D$31)+ABS('Отметки (оконч.)'!$D$30)+ABS('Отметки (оконч.)'!$D$29)+ABS('Отметки (оконч.)'!$D$28)+ABS('Отметки (оконч.)'!$D$27)+ABS('Отметки (оконч.)'!$D$21)+ABS('Отметки (оконч.)'!$D$15)</f>
        <v>3.7584</v>
      </c>
      <c r="C25" s="8">
        <v>8</v>
      </c>
      <c r="D25" s="11">
        <f>'ЛНР (оконч.)'!$G$5+'ЛНР (оконч.)'!$G$12+'Исходные данные'!$B$3+'Исходные данные'!$B$3+'Исходные данные'!$B$3+'Исходные данные'!$B$3+'Исходные данные'!$B$3+'Исходные данные'!$B$3+'Исходные данные'!$B$3</f>
        <v>864.44342105263161</v>
      </c>
      <c r="E25" s="9">
        <v>0.25</v>
      </c>
      <c r="F25" s="11">
        <f>(B25/C25)^2*D25*E25/2</f>
        <v>23.849133865638159</v>
      </c>
    </row>
    <row r="26" spans="1:9" ht="15.6" x14ac:dyDescent="0.3">
      <c r="A26" s="8" t="s">
        <v>90</v>
      </c>
      <c r="B26" s="15">
        <f>ABS('Отметки (оконч.)'!$D$10)+ABS('Отметки (оконч.)'!$D$11)+ABS('Отметки (оконч.)'!$D$12)+ABS('Отметки (оконч.)'!$D$13)+ABS('Отметки (оконч.)'!$D$14)+ABS('Отметки (оконч.)'!$D$20)+ABS('Отметки (оконч.)'!$D$26)+ABS('Отметки (оконч.)'!$D$32)</f>
        <v>3.3416000000000006</v>
      </c>
      <c r="C26" s="8">
        <v>8</v>
      </c>
      <c r="D26" s="11">
        <f>'ЛНР (оконч.)'!$H$5+'Исходные данные'!$B$3+'Исходные данные'!$B$3+'Исходные данные'!$B$3+'Исходные данные'!$B$3+'Исходные данные'!$B$3+'Исходные данные'!$B$3+'Исходные данные'!$B$3+'ЛНР (оконч.)'!$H$12</f>
        <v>735.55657894736839</v>
      </c>
      <c r="E26" s="9">
        <v>0.25</v>
      </c>
      <c r="F26" s="11">
        <f>(B26/C26)^2*D26*E26/2</f>
        <v>16.041872038761518</v>
      </c>
    </row>
    <row r="28" spans="1:9" ht="15.6" x14ac:dyDescent="0.3">
      <c r="A28" s="7" t="s">
        <v>91</v>
      </c>
    </row>
    <row r="29" spans="1:9" ht="15.6" x14ac:dyDescent="0.3">
      <c r="A29" s="30" t="s">
        <v>92</v>
      </c>
      <c r="B29" s="31"/>
      <c r="C29" s="31"/>
      <c r="D29" s="31"/>
      <c r="E29" s="31"/>
      <c r="F29" s="16">
        <f>B21+F21</f>
        <v>150000</v>
      </c>
    </row>
    <row r="30" spans="1:9" ht="15.6" x14ac:dyDescent="0.3">
      <c r="A30" s="30" t="s">
        <v>93</v>
      </c>
      <c r="B30" s="31"/>
      <c r="C30" s="31"/>
      <c r="D30" s="31"/>
      <c r="E30" s="31"/>
      <c r="F30" s="16">
        <f>'Исходные данные'!$B$6*'Исходные данные'!$B$3^2</f>
        <v>150000</v>
      </c>
    </row>
    <row r="31" spans="1:9" ht="15.6" x14ac:dyDescent="0.3">
      <c r="A31" s="30" t="s">
        <v>94</v>
      </c>
      <c r="B31" s="31"/>
      <c r="C31" s="31"/>
      <c r="D31" s="31"/>
      <c r="E31" s="31"/>
      <c r="F31" s="16">
        <f>D21+F25</f>
        <v>24264.140842973826</v>
      </c>
    </row>
    <row r="32" spans="1:9" ht="15.6" x14ac:dyDescent="0.3">
      <c r="A32" s="30" t="s">
        <v>95</v>
      </c>
      <c r="B32" s="31"/>
      <c r="C32" s="31"/>
      <c r="D32" s="31"/>
      <c r="E32" s="31"/>
      <c r="F32" s="16">
        <f>H21+F26</f>
        <v>28820.342480142914</v>
      </c>
    </row>
    <row r="33" spans="1:6" ht="15.6" x14ac:dyDescent="0.3">
      <c r="A33" s="30" t="s">
        <v>96</v>
      </c>
      <c r="B33" s="31"/>
      <c r="C33" s="31"/>
      <c r="D33" s="31"/>
      <c r="E33" s="31"/>
      <c r="F33" s="16">
        <f>F32/'Исходные данные'!$B$4</f>
        <v>27711.867769368186</v>
      </c>
    </row>
  </sheetData>
  <mergeCells count="7">
    <mergeCell ref="A30:E30"/>
    <mergeCell ref="A29:E29"/>
    <mergeCell ref="E4:I4"/>
    <mergeCell ref="A4:D4"/>
    <mergeCell ref="A33:E33"/>
    <mergeCell ref="A32:E32"/>
    <mergeCell ref="A31:E31"/>
  </mergeCells>
  <pageMargins left="0.75" right="0.75" top="1" bottom="1" header="0.5" footer="0.5"/>
  <pageSetup paperSize="9" orientation="landscape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H75"/>
  <sheetViews>
    <sheetView zoomScale="110" workbookViewId="0"/>
  </sheetViews>
  <sheetFormatPr defaultRowHeight="14.4" x14ac:dyDescent="0.3"/>
  <cols>
    <col min="1" max="1" width="52" customWidth="1"/>
    <col min="2" max="2" width="10" customWidth="1"/>
    <col min="3" max="3" width="12" customWidth="1"/>
    <col min="4" max="4" width="8" customWidth="1"/>
    <col min="5" max="5" width="44" customWidth="1"/>
    <col min="6" max="7" width="9" customWidth="1"/>
    <col min="8" max="8" width="10" customWidth="1"/>
  </cols>
  <sheetData>
    <row r="1" spans="1:5" ht="17.399999999999999" x14ac:dyDescent="0.3">
      <c r="A1" s="1" t="s">
        <v>258</v>
      </c>
    </row>
    <row r="2" spans="1:5" x14ac:dyDescent="0.3">
      <c r="A2" s="4" t="s">
        <v>98</v>
      </c>
    </row>
    <row r="4" spans="1:5" ht="15.6" x14ac:dyDescent="0.3">
      <c r="A4" s="6" t="s">
        <v>99</v>
      </c>
      <c r="B4" s="6" t="s">
        <v>100</v>
      </c>
      <c r="C4" s="6" t="s">
        <v>101</v>
      </c>
      <c r="D4" s="6" t="s">
        <v>102</v>
      </c>
      <c r="E4" s="6" t="s">
        <v>103</v>
      </c>
    </row>
    <row r="5" spans="1:5" x14ac:dyDescent="0.3">
      <c r="A5" s="33" t="s">
        <v>104</v>
      </c>
      <c r="B5" s="31"/>
      <c r="C5" s="31"/>
      <c r="D5" s="31"/>
      <c r="E5" s="31"/>
    </row>
    <row r="6" spans="1:5" ht="31.2" x14ac:dyDescent="0.3">
      <c r="A6" s="2" t="s">
        <v>105</v>
      </c>
      <c r="B6" s="8" t="s">
        <v>106</v>
      </c>
      <c r="C6" s="17">
        <v>2.4</v>
      </c>
      <c r="D6" s="8" t="s">
        <v>107</v>
      </c>
      <c r="E6" s="18"/>
    </row>
    <row r="7" spans="1:5" ht="15.6" x14ac:dyDescent="0.3">
      <c r="A7" s="2" t="s">
        <v>108</v>
      </c>
      <c r="B7" s="8" t="s">
        <v>109</v>
      </c>
      <c r="C7" s="17">
        <v>0.4</v>
      </c>
      <c r="D7" s="8" t="s">
        <v>107</v>
      </c>
      <c r="E7" s="18"/>
    </row>
    <row r="8" spans="1:5" ht="15.6" x14ac:dyDescent="0.3">
      <c r="A8" s="2" t="s">
        <v>110</v>
      </c>
      <c r="B8" s="8" t="s">
        <v>111</v>
      </c>
      <c r="C8" s="17">
        <v>0.15</v>
      </c>
      <c r="D8" s="8" t="s">
        <v>107</v>
      </c>
      <c r="E8" s="18"/>
    </row>
    <row r="9" spans="1:5" ht="15.6" x14ac:dyDescent="0.3">
      <c r="A9" s="2" t="s">
        <v>112</v>
      </c>
      <c r="B9" s="8" t="s">
        <v>113</v>
      </c>
      <c r="C9" s="17">
        <v>0.1</v>
      </c>
      <c r="D9" s="8" t="s">
        <v>107</v>
      </c>
      <c r="E9" s="18"/>
    </row>
    <row r="10" spans="1:5" ht="15.6" x14ac:dyDescent="0.3">
      <c r="A10" s="2" t="s">
        <v>114</v>
      </c>
      <c r="B10" s="8" t="s">
        <v>115</v>
      </c>
      <c r="C10" s="17">
        <v>0.2</v>
      </c>
      <c r="D10" s="8" t="s">
        <v>107</v>
      </c>
      <c r="E10" s="18" t="s">
        <v>116</v>
      </c>
    </row>
    <row r="11" spans="1:5" ht="15.6" x14ac:dyDescent="0.3">
      <c r="A11" s="2" t="s">
        <v>117</v>
      </c>
      <c r="B11" s="8" t="s">
        <v>118</v>
      </c>
      <c r="C11" s="17">
        <v>0.4</v>
      </c>
      <c r="D11" s="8" t="s">
        <v>107</v>
      </c>
      <c r="E11" s="18" t="s">
        <v>119</v>
      </c>
    </row>
    <row r="12" spans="1:5" ht="15.6" x14ac:dyDescent="0.3">
      <c r="A12" s="2" t="s">
        <v>120</v>
      </c>
      <c r="B12" s="8"/>
      <c r="C12" s="17">
        <v>0.5</v>
      </c>
      <c r="D12" s="8" t="s">
        <v>107</v>
      </c>
      <c r="E12" s="18" t="s">
        <v>121</v>
      </c>
    </row>
    <row r="13" spans="1:5" ht="15.6" x14ac:dyDescent="0.3">
      <c r="A13" s="2" t="s">
        <v>122</v>
      </c>
      <c r="B13" s="8"/>
      <c r="C13" s="17">
        <v>0.2</v>
      </c>
      <c r="D13" s="8" t="s">
        <v>107</v>
      </c>
      <c r="E13" s="18" t="s">
        <v>123</v>
      </c>
    </row>
    <row r="14" spans="1:5" ht="15.6" x14ac:dyDescent="0.3">
      <c r="A14" s="2" t="s">
        <v>124</v>
      </c>
      <c r="B14" s="8"/>
      <c r="C14" s="17">
        <v>0.5</v>
      </c>
      <c r="D14" s="8" t="s">
        <v>107</v>
      </c>
      <c r="E14" s="18" t="s">
        <v>121</v>
      </c>
    </row>
    <row r="15" spans="1:5" ht="15.6" x14ac:dyDescent="0.3">
      <c r="A15" s="2" t="s">
        <v>125</v>
      </c>
      <c r="B15" s="8"/>
      <c r="C15" s="19">
        <v>60</v>
      </c>
      <c r="D15" s="8" t="s">
        <v>107</v>
      </c>
      <c r="E15" s="18"/>
    </row>
    <row r="16" spans="1:5" ht="15.6" x14ac:dyDescent="0.3">
      <c r="A16" s="2" t="s">
        <v>126</v>
      </c>
      <c r="B16" s="8"/>
      <c r="C16" s="19">
        <v>30</v>
      </c>
      <c r="D16" s="8" t="s">
        <v>107</v>
      </c>
      <c r="E16" s="18"/>
    </row>
    <row r="17" spans="1:5" ht="15.6" x14ac:dyDescent="0.3">
      <c r="A17" s="2" t="s">
        <v>127</v>
      </c>
      <c r="B17" s="8"/>
      <c r="C17" s="19">
        <v>42</v>
      </c>
      <c r="D17" s="8" t="s">
        <v>107</v>
      </c>
      <c r="E17" s="18"/>
    </row>
    <row r="18" spans="1:5" ht="15.6" x14ac:dyDescent="0.3">
      <c r="A18" s="2" t="s">
        <v>128</v>
      </c>
      <c r="B18" s="8"/>
      <c r="C18" s="19">
        <v>12</v>
      </c>
      <c r="D18" s="8" t="s">
        <v>107</v>
      </c>
      <c r="E18" s="18"/>
    </row>
    <row r="19" spans="1:5" ht="15.6" x14ac:dyDescent="0.3">
      <c r="A19" s="2" t="s">
        <v>129</v>
      </c>
      <c r="B19" s="8"/>
      <c r="C19" s="20">
        <v>200</v>
      </c>
      <c r="D19" s="8" t="s">
        <v>107</v>
      </c>
      <c r="E19" s="18"/>
    </row>
    <row r="20" spans="1:5" ht="15.6" x14ac:dyDescent="0.3">
      <c r="A20" s="2" t="s">
        <v>130</v>
      </c>
      <c r="B20" s="8"/>
      <c r="C20" s="20">
        <v>100</v>
      </c>
      <c r="D20" s="8" t="s">
        <v>107</v>
      </c>
      <c r="E20" s="18"/>
    </row>
    <row r="21" spans="1:5" ht="15.6" x14ac:dyDescent="0.3">
      <c r="A21" s="2" t="s">
        <v>131</v>
      </c>
      <c r="B21" s="8" t="s">
        <v>132</v>
      </c>
      <c r="C21" s="21">
        <f>$C$19+'Исходные данные'!$B$3/2-$C$15/2</f>
        <v>220</v>
      </c>
      <c r="D21" s="8" t="s">
        <v>107</v>
      </c>
      <c r="E21" s="18"/>
    </row>
    <row r="22" spans="1:5" ht="15.6" x14ac:dyDescent="0.3">
      <c r="A22" s="2" t="s">
        <v>133</v>
      </c>
      <c r="B22" s="8" t="s">
        <v>134</v>
      </c>
      <c r="C22" s="21">
        <f>$C$20+'Исходные данные'!$B$3/2-$C$16/2</f>
        <v>135</v>
      </c>
      <c r="D22" s="8" t="s">
        <v>107</v>
      </c>
      <c r="E22" s="18"/>
    </row>
    <row r="23" spans="1:5" x14ac:dyDescent="0.3">
      <c r="A23" s="33" t="s">
        <v>135</v>
      </c>
      <c r="B23" s="31"/>
      <c r="C23" s="31"/>
      <c r="D23" s="31"/>
      <c r="E23" s="31"/>
    </row>
    <row r="24" spans="1:5" ht="15.6" x14ac:dyDescent="0.3">
      <c r="A24" s="2" t="s">
        <v>136</v>
      </c>
      <c r="B24" s="8"/>
      <c r="C24" s="22">
        <f>$C$11/2</f>
        <v>0.2</v>
      </c>
      <c r="D24" s="8" t="s">
        <v>107</v>
      </c>
      <c r="E24" s="18"/>
    </row>
    <row r="25" spans="1:5" ht="15.6" x14ac:dyDescent="0.3">
      <c r="A25" s="2" t="s">
        <v>137</v>
      </c>
      <c r="B25" s="8" t="s">
        <v>138</v>
      </c>
      <c r="C25" s="22">
        <f>$C$24+$C$12</f>
        <v>0.7</v>
      </c>
      <c r="D25" s="8" t="s">
        <v>107</v>
      </c>
      <c r="E25" s="18"/>
    </row>
    <row r="26" spans="1:5" ht="15.6" x14ac:dyDescent="0.3">
      <c r="A26" s="2" t="s">
        <v>139</v>
      </c>
      <c r="B26" s="8"/>
      <c r="C26" s="22">
        <f>$C$25+$C$13</f>
        <v>0.89999999999999991</v>
      </c>
      <c r="D26" s="8" t="s">
        <v>107</v>
      </c>
      <c r="E26" s="18"/>
    </row>
    <row r="27" spans="1:5" ht="15.6" x14ac:dyDescent="0.3">
      <c r="A27" s="2" t="s">
        <v>140</v>
      </c>
      <c r="B27" s="8"/>
      <c r="C27" s="22">
        <f>$C$26+$C$14</f>
        <v>1.4</v>
      </c>
      <c r="D27" s="8" t="s">
        <v>107</v>
      </c>
      <c r="E27" s="18"/>
    </row>
    <row r="28" spans="1:5" ht="15.6" x14ac:dyDescent="0.3">
      <c r="A28" s="2" t="s">
        <v>141</v>
      </c>
      <c r="B28" s="8" t="s">
        <v>142</v>
      </c>
      <c r="C28" s="22">
        <f>$C$27-$C$25</f>
        <v>0.7</v>
      </c>
      <c r="D28" s="8" t="s">
        <v>107</v>
      </c>
      <c r="E28" s="18" t="s">
        <v>143</v>
      </c>
    </row>
    <row r="29" spans="1:5" x14ac:dyDescent="0.3">
      <c r="A29" s="33" t="s">
        <v>144</v>
      </c>
      <c r="B29" s="31"/>
      <c r="C29" s="31"/>
      <c r="D29" s="31"/>
      <c r="E29" s="31"/>
    </row>
    <row r="30" spans="1:5" ht="26.4" x14ac:dyDescent="0.3">
      <c r="A30" s="2" t="s">
        <v>145</v>
      </c>
      <c r="B30" s="8" t="s">
        <v>146</v>
      </c>
      <c r="C30" s="11">
        <f>IF($C$6&lt;=1.5,0.25,IF($C$6&lt;=3,0.67,0.85))</f>
        <v>0.67</v>
      </c>
      <c r="D30" s="8"/>
      <c r="E30" s="18" t="s">
        <v>147</v>
      </c>
    </row>
    <row r="31" spans="1:5" ht="15.6" x14ac:dyDescent="0.3">
      <c r="A31" s="2" t="s">
        <v>148</v>
      </c>
      <c r="B31" s="8"/>
      <c r="C31" s="22">
        <f>$C$27+$C$6*$C$30</f>
        <v>3.008</v>
      </c>
      <c r="D31" s="8" t="s">
        <v>107</v>
      </c>
      <c r="E31" s="18"/>
    </row>
    <row r="32" spans="1:5" ht="31.2" x14ac:dyDescent="0.3">
      <c r="A32" s="2" t="s">
        <v>149</v>
      </c>
      <c r="B32" s="8" t="s">
        <v>150</v>
      </c>
      <c r="C32" s="15">
        <f>AVERAGE(H69:H74)</f>
        <v>8.156012305066665E-2</v>
      </c>
      <c r="D32" s="8" t="s">
        <v>107</v>
      </c>
      <c r="E32" s="18" t="s">
        <v>151</v>
      </c>
    </row>
    <row r="33" spans="1:5" ht="15.6" x14ac:dyDescent="0.3">
      <c r="A33" s="2" t="s">
        <v>152</v>
      </c>
      <c r="B33" s="8"/>
      <c r="C33" s="22" t="str">
        <f>IF($C$32&gt;0,"насыпи","выемки")</f>
        <v>насыпи</v>
      </c>
      <c r="D33" s="8"/>
      <c r="E33" s="18" t="s">
        <v>153</v>
      </c>
    </row>
    <row r="34" spans="1:5" ht="31.2" x14ac:dyDescent="0.3">
      <c r="A34" s="2" t="s">
        <v>154</v>
      </c>
      <c r="B34" s="8" t="s">
        <v>155</v>
      </c>
      <c r="C34" s="15">
        <f>('Отметки (оконч.)'!$D$17+'Отметки (оконч.)'!$D$18+'Отметки (оконч.)'!$D$23+'Отметки (оконч.)'!$D$24)/4</f>
        <v>0.10269999999999999</v>
      </c>
      <c r="D34" s="8" t="s">
        <v>107</v>
      </c>
      <c r="E34" s="18" t="s">
        <v>156</v>
      </c>
    </row>
    <row r="35" spans="1:5" ht="15.6" x14ac:dyDescent="0.3">
      <c r="A35" s="2" t="s">
        <v>157</v>
      </c>
      <c r="B35" s="8" t="s">
        <v>158</v>
      </c>
      <c r="C35" s="15">
        <f>IF($C$33="насыпи",$C$6-$C$10-$C$34,$C$6-$C$10)</f>
        <v>2.0972999999999997</v>
      </c>
      <c r="D35" s="8" t="s">
        <v>107</v>
      </c>
      <c r="E35" s="18" t="s">
        <v>159</v>
      </c>
    </row>
    <row r="36" spans="1:5" x14ac:dyDescent="0.3">
      <c r="A36" s="33" t="s">
        <v>160</v>
      </c>
      <c r="B36" s="31"/>
      <c r="C36" s="31"/>
      <c r="D36" s="31"/>
      <c r="E36" s="31"/>
    </row>
    <row r="37" spans="1:5" ht="15.6" x14ac:dyDescent="0.3">
      <c r="A37" s="2" t="s">
        <v>161</v>
      </c>
      <c r="B37" s="8" t="s">
        <v>87</v>
      </c>
      <c r="C37" s="11">
        <f>IF($C$35&lt;=1.5,0.25,IF($C$35&lt;=3,0.67,0.85))</f>
        <v>0.67</v>
      </c>
      <c r="D37" s="8"/>
      <c r="E37" s="18" t="s">
        <v>162</v>
      </c>
    </row>
    <row r="38" spans="1:5" ht="15.6" x14ac:dyDescent="0.3">
      <c r="A38" s="2" t="s">
        <v>163</v>
      </c>
      <c r="B38" s="8" t="s">
        <v>164</v>
      </c>
      <c r="C38" s="15">
        <f>$C$35*$C$37</f>
        <v>1.4051909999999999</v>
      </c>
      <c r="D38" s="8" t="s">
        <v>107</v>
      </c>
      <c r="E38" s="18" t="s">
        <v>165</v>
      </c>
    </row>
    <row r="39" spans="1:5" ht="15.6" x14ac:dyDescent="0.3">
      <c r="A39" s="2" t="s">
        <v>166</v>
      </c>
      <c r="B39" s="8"/>
      <c r="C39" s="22">
        <f>$C$15+2*$C$27</f>
        <v>62.8</v>
      </c>
      <c r="D39" s="8" t="s">
        <v>107</v>
      </c>
      <c r="E39" s="18"/>
    </row>
    <row r="40" spans="1:5" ht="15.6" x14ac:dyDescent="0.3">
      <c r="A40" s="2" t="s">
        <v>167</v>
      </c>
      <c r="B40" s="8"/>
      <c r="C40" s="22">
        <f>$C$16+2*$C$27</f>
        <v>32.799999999999997</v>
      </c>
      <c r="D40" s="8" t="s">
        <v>107</v>
      </c>
      <c r="E40" s="18"/>
    </row>
    <row r="41" spans="1:5" ht="15.6" x14ac:dyDescent="0.3">
      <c r="A41" s="2" t="s">
        <v>168</v>
      </c>
      <c r="B41" s="8" t="s">
        <v>169</v>
      </c>
      <c r="C41" s="11">
        <f>($C$15+2*$C$27)*($C$16+2*$C$27)-$C$17*$C$18</f>
        <v>1555.8399999999997</v>
      </c>
      <c r="D41" s="8" t="s">
        <v>170</v>
      </c>
      <c r="E41" s="18" t="s">
        <v>171</v>
      </c>
    </row>
    <row r="42" spans="1:5" ht="15.6" x14ac:dyDescent="0.3">
      <c r="A42" s="2" t="s">
        <v>172</v>
      </c>
      <c r="B42" s="8"/>
      <c r="C42" s="22">
        <f>$C$39+2*$C$38</f>
        <v>65.610382000000001</v>
      </c>
      <c r="D42" s="8" t="s">
        <v>107</v>
      </c>
      <c r="E42" s="18"/>
    </row>
    <row r="43" spans="1:5" ht="15.6" x14ac:dyDescent="0.3">
      <c r="A43" s="2" t="s">
        <v>173</v>
      </c>
      <c r="B43" s="8"/>
      <c r="C43" s="22">
        <f>$C$40+2*$C$38</f>
        <v>35.610381999999994</v>
      </c>
      <c r="D43" s="8" t="s">
        <v>107</v>
      </c>
      <c r="E43" s="18"/>
    </row>
    <row r="44" spans="1:5" ht="15.6" x14ac:dyDescent="0.3">
      <c r="A44" s="2" t="s">
        <v>174</v>
      </c>
      <c r="B44" s="8" t="s">
        <v>175</v>
      </c>
      <c r="C44" s="11">
        <f>$C$42*$C$43-$C$17*$C$18</f>
        <v>1832.4107661859239</v>
      </c>
      <c r="D44" s="8" t="s">
        <v>170</v>
      </c>
      <c r="E44" s="18"/>
    </row>
    <row r="45" spans="1:5" ht="15.6" x14ac:dyDescent="0.3">
      <c r="A45" s="2" t="s">
        <v>176</v>
      </c>
      <c r="B45" s="8" t="s">
        <v>177</v>
      </c>
      <c r="C45" s="11">
        <f>($C$15+2*$C$24)*($C$16+2*$C$24)-$C$17*$C$18</f>
        <v>1332.1599999999999</v>
      </c>
      <c r="D45" s="8" t="s">
        <v>170</v>
      </c>
      <c r="E45" s="18"/>
    </row>
    <row r="46" spans="1:5" ht="15.6" x14ac:dyDescent="0.3">
      <c r="A46" s="2" t="s">
        <v>178</v>
      </c>
      <c r="B46" s="8" t="s">
        <v>179</v>
      </c>
      <c r="C46" s="11">
        <f>($C$15+2*$C$25)*($C$16+2*$C$25)-$C$17*$C$18</f>
        <v>1423.9599999999998</v>
      </c>
      <c r="D46" s="8" t="s">
        <v>170</v>
      </c>
      <c r="E46" s="18"/>
    </row>
    <row r="47" spans="1:5" ht="15.6" x14ac:dyDescent="0.3">
      <c r="A47" s="2" t="s">
        <v>180</v>
      </c>
      <c r="B47" s="8" t="s">
        <v>181</v>
      </c>
      <c r="C47" s="11">
        <f>($C$15+2*$C$26)*($C$16+2*$C$26)-$C$17*$C$18</f>
        <v>1461.24</v>
      </c>
      <c r="D47" s="8" t="s">
        <v>170</v>
      </c>
      <c r="E47" s="18"/>
    </row>
    <row r="48" spans="1:5" x14ac:dyDescent="0.3">
      <c r="A48" s="33" t="s">
        <v>182</v>
      </c>
      <c r="B48" s="31"/>
      <c r="C48" s="31"/>
      <c r="D48" s="31"/>
      <c r="E48" s="31"/>
    </row>
    <row r="49" spans="1:5" ht="15.6" x14ac:dyDescent="0.3">
      <c r="A49" s="2" t="s">
        <v>183</v>
      </c>
      <c r="B49" s="8" t="s">
        <v>184</v>
      </c>
      <c r="C49" s="19">
        <v>3</v>
      </c>
      <c r="D49" s="8" t="s">
        <v>107</v>
      </c>
      <c r="E49" s="18" t="s">
        <v>185</v>
      </c>
    </row>
    <row r="50" spans="1:5" ht="15.6" x14ac:dyDescent="0.3">
      <c r="A50" s="2" t="s">
        <v>186</v>
      </c>
      <c r="B50" s="8" t="s">
        <v>187</v>
      </c>
      <c r="C50" s="9">
        <v>0.1</v>
      </c>
      <c r="D50" s="8"/>
      <c r="E50" s="18" t="s">
        <v>188</v>
      </c>
    </row>
    <row r="51" spans="1:5" ht="15.6" x14ac:dyDescent="0.3">
      <c r="A51" s="2" t="s">
        <v>189</v>
      </c>
      <c r="B51" s="8" t="s">
        <v>85</v>
      </c>
      <c r="C51" s="11">
        <f>1/$C$50</f>
        <v>10</v>
      </c>
      <c r="D51" s="8"/>
      <c r="E51" s="18" t="s">
        <v>190</v>
      </c>
    </row>
    <row r="52" spans="1:5" ht="15.6" x14ac:dyDescent="0.3">
      <c r="A52" s="2" t="s">
        <v>191</v>
      </c>
      <c r="B52" s="8"/>
      <c r="C52" s="22">
        <f>$C$35*$C$51</f>
        <v>20.972999999999999</v>
      </c>
      <c r="D52" s="8" t="s">
        <v>107</v>
      </c>
      <c r="E52" s="18"/>
    </row>
    <row r="53" spans="1:5" ht="15.6" x14ac:dyDescent="0.3">
      <c r="A53" s="2" t="s">
        <v>192</v>
      </c>
      <c r="B53" s="8" t="s">
        <v>193</v>
      </c>
      <c r="C53" s="11">
        <f>$C$51*($C$49*$C$35^2/2+$C$37*$C$35^3/3)</f>
        <v>86.583234976341274</v>
      </c>
      <c r="D53" s="8" t="s">
        <v>194</v>
      </c>
      <c r="E53" s="18" t="s">
        <v>195</v>
      </c>
    </row>
    <row r="54" spans="1:5" x14ac:dyDescent="0.3">
      <c r="A54" s="33" t="s">
        <v>196</v>
      </c>
      <c r="B54" s="31"/>
      <c r="C54" s="31"/>
      <c r="D54" s="31"/>
      <c r="E54" s="31"/>
    </row>
    <row r="55" spans="1:5" ht="15.6" x14ac:dyDescent="0.3">
      <c r="A55" s="2" t="s">
        <v>197</v>
      </c>
      <c r="B55" s="8"/>
      <c r="C55" s="11">
        <f>$C$35/3*($C$41+$C$44+SQRT($C$41*$C$44))</f>
        <v>3549.1369420839096</v>
      </c>
      <c r="D55" s="8" t="s">
        <v>194</v>
      </c>
      <c r="E55" s="18" t="s">
        <v>198</v>
      </c>
    </row>
    <row r="56" spans="1:5" ht="15.6" x14ac:dyDescent="0.3">
      <c r="A56" s="2" t="s">
        <v>199</v>
      </c>
      <c r="B56" s="8" t="s">
        <v>200</v>
      </c>
      <c r="C56" s="11">
        <f>$C$55+$C$53</f>
        <v>3635.720177060251</v>
      </c>
      <c r="D56" s="8" t="s">
        <v>194</v>
      </c>
      <c r="E56" s="18"/>
    </row>
    <row r="57" spans="1:5" ht="15.6" x14ac:dyDescent="0.3">
      <c r="A57" s="2" t="s">
        <v>201</v>
      </c>
      <c r="B57" s="8" t="s">
        <v>202</v>
      </c>
      <c r="C57" s="11">
        <f>$C$41*$C$9</f>
        <v>155.58399999999997</v>
      </c>
      <c r="D57" s="8" t="s">
        <v>194</v>
      </c>
      <c r="E57" s="18" t="s">
        <v>203</v>
      </c>
    </row>
    <row r="58" spans="1:5" ht="15.6" x14ac:dyDescent="0.3">
      <c r="A58" s="2" t="s">
        <v>204</v>
      </c>
      <c r="B58" s="8" t="s">
        <v>205</v>
      </c>
      <c r="C58" s="11">
        <f>$C$47*$C$8</f>
        <v>219.18600000000001</v>
      </c>
      <c r="D58" s="8" t="s">
        <v>194</v>
      </c>
      <c r="E58" s="18" t="s">
        <v>206</v>
      </c>
    </row>
    <row r="59" spans="1:5" ht="15.6" x14ac:dyDescent="0.3">
      <c r="A59" s="2" t="s">
        <v>207</v>
      </c>
      <c r="B59" s="8" t="s">
        <v>208</v>
      </c>
      <c r="C59" s="9">
        <v>0</v>
      </c>
      <c r="D59" s="8" t="s">
        <v>194</v>
      </c>
      <c r="E59" s="18" t="s">
        <v>209</v>
      </c>
    </row>
    <row r="60" spans="1:5" ht="15.6" x14ac:dyDescent="0.3">
      <c r="A60" s="2" t="s">
        <v>210</v>
      </c>
      <c r="B60" s="8" t="s">
        <v>211</v>
      </c>
      <c r="C60" s="9">
        <v>0</v>
      </c>
      <c r="D60" s="8" t="s">
        <v>194</v>
      </c>
      <c r="E60" s="18" t="s">
        <v>212</v>
      </c>
    </row>
    <row r="61" spans="1:5" ht="15.6" x14ac:dyDescent="0.3">
      <c r="A61" s="2" t="s">
        <v>213</v>
      </c>
      <c r="B61" s="8" t="s">
        <v>214</v>
      </c>
      <c r="C61" s="11">
        <f>$C$46*$C$7</f>
        <v>569.58399999999995</v>
      </c>
      <c r="D61" s="8" t="s">
        <v>194</v>
      </c>
      <c r="E61" s="18" t="s">
        <v>215</v>
      </c>
    </row>
    <row r="62" spans="1:5" ht="15.6" x14ac:dyDescent="0.3">
      <c r="A62" s="2" t="s">
        <v>216</v>
      </c>
      <c r="B62" s="8"/>
      <c r="C62" s="22">
        <f>$C$35-$C$7-$C$8-$C$9</f>
        <v>1.4472999999999998</v>
      </c>
      <c r="D62" s="8" t="s">
        <v>107</v>
      </c>
      <c r="E62" s="18" t="s">
        <v>217</v>
      </c>
    </row>
    <row r="63" spans="1:5" ht="15.6" x14ac:dyDescent="0.3">
      <c r="A63" s="2" t="s">
        <v>218</v>
      </c>
      <c r="B63" s="8" t="s">
        <v>219</v>
      </c>
      <c r="C63" s="11">
        <f>$C$45*$C$62</f>
        <v>1928.0351679999994</v>
      </c>
      <c r="D63" s="8" t="s">
        <v>194</v>
      </c>
      <c r="E63" s="18"/>
    </row>
    <row r="64" spans="1:5" ht="15.6" x14ac:dyDescent="0.3">
      <c r="A64" s="2" t="s">
        <v>220</v>
      </c>
      <c r="B64" s="8" t="s">
        <v>221</v>
      </c>
      <c r="C64" s="11">
        <f>$C$61+$C$63</f>
        <v>2497.6191679999993</v>
      </c>
      <c r="D64" s="8" t="s">
        <v>194</v>
      </c>
      <c r="E64" s="18" t="s">
        <v>222</v>
      </c>
    </row>
    <row r="65" spans="1:8" ht="15.6" x14ac:dyDescent="0.3">
      <c r="A65" s="2" t="s">
        <v>223</v>
      </c>
      <c r="B65" s="8" t="s">
        <v>224</v>
      </c>
      <c r="C65" s="11">
        <f>$C$56-$C$64-$C$57-$C$58-$C$59-$C$60</f>
        <v>763.33100906025174</v>
      </c>
      <c r="D65" s="8" t="s">
        <v>194</v>
      </c>
      <c r="E65" s="18" t="s">
        <v>225</v>
      </c>
    </row>
    <row r="67" spans="1:8" ht="15.6" x14ac:dyDescent="0.3">
      <c r="A67" s="7" t="s">
        <v>226</v>
      </c>
    </row>
    <row r="68" spans="1:8" ht="31.2" x14ac:dyDescent="0.3">
      <c r="A68" s="6" t="s">
        <v>227</v>
      </c>
      <c r="B68" s="6" t="s">
        <v>228</v>
      </c>
      <c r="C68" s="6" t="s">
        <v>229</v>
      </c>
      <c r="D68" s="6" t="s">
        <v>230</v>
      </c>
      <c r="E68" s="6" t="s">
        <v>231</v>
      </c>
      <c r="F68" s="6" t="s">
        <v>232</v>
      </c>
      <c r="G68" s="6" t="s">
        <v>233</v>
      </c>
      <c r="H68" s="6" t="s">
        <v>11</v>
      </c>
    </row>
    <row r="69" spans="1:8" ht="15.6" x14ac:dyDescent="0.3">
      <c r="A69" s="8" t="s">
        <v>58</v>
      </c>
      <c r="B69" s="22">
        <f>-$C$31</f>
        <v>-3.008</v>
      </c>
      <c r="C69" s="22">
        <f>-$C$31</f>
        <v>-3.008</v>
      </c>
      <c r="D69" s="22">
        <f t="shared" ref="D69:D74" si="0">$C$21+B69</f>
        <v>216.99199999999999</v>
      </c>
      <c r="E69" s="22">
        <f t="shared" ref="E69:E74" si="1">$C$22+C69</f>
        <v>131.99199999999999</v>
      </c>
      <c r="F69" s="15">
        <f>(D69-$C$19)/'Исходные данные'!$B$3</f>
        <v>0.1699199999999999</v>
      </c>
      <c r="G69" s="15">
        <f>(E69-$C$20)/'Исходные данные'!$B$3</f>
        <v>0.31991999999999993</v>
      </c>
      <c r="H69" s="15">
        <f>'Отметки (оконч.)'!$D$23*(1-F69)*(1-G69)+'Отметки (оконч.)'!$D$24*F69*(1-G69)+'Отметки (оконч.)'!$D$17*(1-F69)*G69+'Отметки (оконч.)'!$D$18*F69*G69</f>
        <v>-0.10156334515200006</v>
      </c>
    </row>
    <row r="70" spans="1:8" ht="15.6" x14ac:dyDescent="0.3">
      <c r="A70" s="8" t="s">
        <v>60</v>
      </c>
      <c r="B70" s="22">
        <f>$C$15-$C$17+$C$31</f>
        <v>21.007999999999999</v>
      </c>
      <c r="C70" s="22">
        <f>-$C$31</f>
        <v>-3.008</v>
      </c>
      <c r="D70" s="22">
        <f t="shared" si="0"/>
        <v>241.00800000000001</v>
      </c>
      <c r="E70" s="22">
        <f t="shared" si="1"/>
        <v>131.99199999999999</v>
      </c>
      <c r="F70" s="15">
        <f>(D70-$C$19)/'Исходные данные'!$B$3</f>
        <v>0.41008000000000011</v>
      </c>
      <c r="G70" s="15">
        <f>(E70-$C$20)/'Исходные данные'!$B$3</f>
        <v>0.31991999999999993</v>
      </c>
      <c r="H70" s="15">
        <f>'Отметки (оконч.)'!$D$23*(1-F70)*(1-G70)+'Отметки (оконч.)'!$D$24*F70*(1-G70)+'Отметки (оконч.)'!$D$17*(1-F70)*G70+'Отметки (оконч.)'!$D$18*F70*G70</f>
        <v>-1.4525902847999983E-2</v>
      </c>
    </row>
    <row r="71" spans="1:8" ht="15.6" x14ac:dyDescent="0.3">
      <c r="A71" s="8" t="s">
        <v>63</v>
      </c>
      <c r="B71" s="22">
        <f>$C$15-$C$17+$C$31</f>
        <v>21.007999999999999</v>
      </c>
      <c r="C71" s="22">
        <f>$C$18-$C$31</f>
        <v>8.9920000000000009</v>
      </c>
      <c r="D71" s="22">
        <f t="shared" si="0"/>
        <v>241.00800000000001</v>
      </c>
      <c r="E71" s="22">
        <f t="shared" si="1"/>
        <v>143.99199999999999</v>
      </c>
      <c r="F71" s="15">
        <f>(D71-$C$19)/'Исходные данные'!$B$3</f>
        <v>0.41008000000000011</v>
      </c>
      <c r="G71" s="15">
        <f>(E71-$C$20)/'Исходные данные'!$B$3</f>
        <v>0.43991999999999992</v>
      </c>
      <c r="H71" s="15">
        <f>'Отметки (оконч.)'!$D$23*(1-F71)*(1-G71)+'Отметки (оконч.)'!$D$24*F71*(1-G71)+'Отметки (оконч.)'!$D$17*(1-F71)*G71+'Отметки (оконч.)'!$D$18*F71*G71</f>
        <v>4.3816369151999976E-2</v>
      </c>
    </row>
    <row r="72" spans="1:8" ht="15.6" x14ac:dyDescent="0.3">
      <c r="A72" s="8" t="s">
        <v>64</v>
      </c>
      <c r="B72" s="22">
        <f>$C$15+$C$31</f>
        <v>63.008000000000003</v>
      </c>
      <c r="C72" s="22">
        <f>$C$18-$C$31</f>
        <v>8.9920000000000009</v>
      </c>
      <c r="D72" s="22">
        <f t="shared" si="0"/>
        <v>283.00799999999998</v>
      </c>
      <c r="E72" s="22">
        <f t="shared" si="1"/>
        <v>143.99199999999999</v>
      </c>
      <c r="F72" s="15">
        <f>(D72-$C$19)/'Исходные данные'!$B$3</f>
        <v>0.83007999999999982</v>
      </c>
      <c r="G72" s="15">
        <f>(E72-$C$20)/'Исходные данные'!$B$3</f>
        <v>0.43991999999999992</v>
      </c>
      <c r="H72" s="15">
        <f>'Отметки (оконч.)'!$D$23*(1-F72)*(1-G72)+'Отметки (оконч.)'!$D$24*F72*(1-G72)+'Отметки (оконч.)'!$D$17*(1-F72)*G72+'Отметки (оконч.)'!$D$18*F72*G72</f>
        <v>0.1869584171519999</v>
      </c>
    </row>
    <row r="73" spans="1:8" ht="15.6" x14ac:dyDescent="0.3">
      <c r="A73" s="8" t="s">
        <v>65</v>
      </c>
      <c r="B73" s="22">
        <f>$C$15+$C$31</f>
        <v>63.008000000000003</v>
      </c>
      <c r="C73" s="22">
        <f>$C$16+$C$31</f>
        <v>33.008000000000003</v>
      </c>
      <c r="D73" s="22">
        <f t="shared" si="0"/>
        <v>283.00799999999998</v>
      </c>
      <c r="E73" s="22">
        <f t="shared" si="1"/>
        <v>168.00800000000001</v>
      </c>
      <c r="F73" s="15">
        <f>(D73-$C$19)/'Исходные данные'!$B$3</f>
        <v>0.83007999999999982</v>
      </c>
      <c r="G73" s="15">
        <f>(E73-$C$20)/'Исходные данные'!$B$3</f>
        <v>0.68008000000000013</v>
      </c>
      <c r="H73" s="15">
        <f>'Отметки (оконч.)'!$D$23*(1-F73)*(1-G73)+'Отметки (оконч.)'!$D$24*F73*(1-G73)+'Отметки (оконч.)'!$D$17*(1-F73)*G73+'Отметки (оконч.)'!$D$18*F73*G73</f>
        <v>0.28556465484799998</v>
      </c>
    </row>
    <row r="74" spans="1:8" ht="15.6" x14ac:dyDescent="0.3">
      <c r="A74" s="8" t="s">
        <v>66</v>
      </c>
      <c r="B74" s="22">
        <f>-$C$31</f>
        <v>-3.008</v>
      </c>
      <c r="C74" s="22">
        <f>$C$16+$C$31</f>
        <v>33.008000000000003</v>
      </c>
      <c r="D74" s="22">
        <f t="shared" si="0"/>
        <v>216.99199999999999</v>
      </c>
      <c r="E74" s="22">
        <f t="shared" si="1"/>
        <v>168.00800000000001</v>
      </c>
      <c r="F74" s="15">
        <f>(D74-$C$19)/'Исходные данные'!$B$3</f>
        <v>0.1699199999999999</v>
      </c>
      <c r="G74" s="15">
        <f>(E74-$C$20)/'Исходные данные'!$B$3</f>
        <v>0.68008000000000013</v>
      </c>
      <c r="H74" s="15">
        <f>'Отметки (оконч.)'!$D$23*(1-F74)*(1-G74)+'Отметки (оконч.)'!$D$24*F74*(1-G74)+'Отметки (оконч.)'!$D$17*(1-F74)*G74+'Отметки (оконч.)'!$D$18*F74*G74</f>
        <v>8.9110545152000051E-2</v>
      </c>
    </row>
    <row r="75" spans="1:8" x14ac:dyDescent="0.3">
      <c r="A75" s="23" t="s">
        <v>234</v>
      </c>
    </row>
  </sheetData>
  <mergeCells count="6">
    <mergeCell ref="A29:E29"/>
    <mergeCell ref="A48:E48"/>
    <mergeCell ref="A54:E54"/>
    <mergeCell ref="A5:E5"/>
    <mergeCell ref="A23:E23"/>
    <mergeCell ref="A36:E36"/>
  </mergeCells>
  <pageMargins left="0.75" right="0.75" top="1" bottom="1" header="0.5" footer="0.5"/>
  <pageSetup paperSize="9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E14"/>
  <sheetViews>
    <sheetView zoomScale="110" workbookViewId="0"/>
  </sheetViews>
  <sheetFormatPr defaultRowHeight="14.4" x14ac:dyDescent="0.3"/>
  <cols>
    <col min="1" max="1" width="5" customWidth="1"/>
    <col min="2" max="2" width="52" customWidth="1"/>
    <col min="3" max="5" width="16" customWidth="1"/>
  </cols>
  <sheetData>
    <row r="1" spans="1:5" ht="17.399999999999999" x14ac:dyDescent="0.3">
      <c r="A1" s="1" t="s">
        <v>235</v>
      </c>
    </row>
    <row r="2" spans="1:5" x14ac:dyDescent="0.3">
      <c r="A2" s="4" t="s">
        <v>259</v>
      </c>
    </row>
    <row r="4" spans="1:5" ht="31.2" x14ac:dyDescent="0.3">
      <c r="A4" s="6" t="s">
        <v>237</v>
      </c>
      <c r="B4" s="6" t="s">
        <v>238</v>
      </c>
      <c r="C4" s="6" t="s">
        <v>239</v>
      </c>
      <c r="D4" s="6" t="s">
        <v>240</v>
      </c>
      <c r="E4" s="6" t="s">
        <v>241</v>
      </c>
    </row>
    <row r="5" spans="1:5" ht="15.6" x14ac:dyDescent="0.3">
      <c r="A5" s="8">
        <v>1</v>
      </c>
      <c r="B5" s="2" t="s">
        <v>242</v>
      </c>
      <c r="C5" s="24">
        <f>'Объёмы (оконч.)'!$F$31</f>
        <v>24264.140842973826</v>
      </c>
      <c r="D5" s="24">
        <f>'Объёмы (оконч.)'!$F$32</f>
        <v>28820.342480142914</v>
      </c>
      <c r="E5" s="11">
        <f>D5/'Исходные данные'!$B$4</f>
        <v>27711.867769368186</v>
      </c>
    </row>
    <row r="6" spans="1:5" ht="15.6" x14ac:dyDescent="0.3">
      <c r="A6" s="8">
        <v>2</v>
      </c>
      <c r="B6" s="2" t="s">
        <v>243</v>
      </c>
      <c r="C6" s="24">
        <f>'Котлован (оконч.)'!$C$56</f>
        <v>3635.720177060251</v>
      </c>
      <c r="D6" s="24">
        <f>'Котлован (оконч.)'!$C$65</f>
        <v>763.33100906025174</v>
      </c>
      <c r="E6" s="11">
        <f>D6/'Исходные данные'!$B$4</f>
        <v>733.97212409639587</v>
      </c>
    </row>
    <row r="7" spans="1:5" ht="15.6" x14ac:dyDescent="0.3">
      <c r="A7" s="8"/>
      <c r="B7" s="25" t="s">
        <v>244</v>
      </c>
      <c r="C7" s="16">
        <f>SUM(C5:C6)</f>
        <v>27899.861020034077</v>
      </c>
      <c r="D7" s="16">
        <f>SUM(D5:D6)</f>
        <v>29583.673489203167</v>
      </c>
      <c r="E7" s="16">
        <f>SUM(E5:E6)</f>
        <v>28445.839893464581</v>
      </c>
    </row>
    <row r="8" spans="1:5" ht="31.2" x14ac:dyDescent="0.3">
      <c r="A8" s="8"/>
      <c r="B8" s="25" t="s">
        <v>245</v>
      </c>
      <c r="C8" s="34">
        <f>C7-E7</f>
        <v>-545.97887343050388</v>
      </c>
      <c r="D8" s="31"/>
      <c r="E8" s="31"/>
    </row>
    <row r="10" spans="1:5" ht="15.6" x14ac:dyDescent="0.3">
      <c r="A10" s="30" t="s">
        <v>246</v>
      </c>
      <c r="B10" s="31"/>
      <c r="C10" s="31"/>
      <c r="D10" s="26">
        <f>ABS(C8)/MAX(C7,E7)</f>
        <v>1.9193628153547412E-2</v>
      </c>
    </row>
    <row r="11" spans="1:5" ht="15.6" x14ac:dyDescent="0.3">
      <c r="A11" s="30" t="s">
        <v>247</v>
      </c>
      <c r="B11" s="31"/>
      <c r="C11" s="31"/>
      <c r="D11" s="14" t="str">
        <f>IF(D10&lt;=0.05,"баланс соблюдён",IF(C8&lt;0,"не хватает грунта — нужен перерасчёт Нср (Δh)","излишек грунта — нужен перерасчёт Нср (Δh)"))</f>
        <v>баланс соблюдён</v>
      </c>
    </row>
    <row r="12" spans="1:5" ht="15.6" x14ac:dyDescent="0.3">
      <c r="A12" s="30" t="s">
        <v>248</v>
      </c>
      <c r="B12" s="31"/>
      <c r="C12" s="31"/>
      <c r="D12" s="16">
        <f>'Исходные данные'!$B$6*'Исходные данные'!$B$3^2-IF('Котлован (оконч.)'!$C$33="насыпи",'Котлован (оконч.)'!$C$44,0)</f>
        <v>148167.58923381407</v>
      </c>
    </row>
    <row r="13" spans="1:5" ht="15.6" x14ac:dyDescent="0.3">
      <c r="A13" s="30" t="s">
        <v>249</v>
      </c>
      <c r="B13" s="31"/>
      <c r="C13" s="31"/>
      <c r="D13" s="27">
        <f>C8/D12</f>
        <v>-3.6848738395070229E-3</v>
      </c>
    </row>
    <row r="14" spans="1:5" ht="15.6" x14ac:dyDescent="0.3">
      <c r="A14" s="30" t="s">
        <v>250</v>
      </c>
      <c r="B14" s="31"/>
      <c r="C14" s="31"/>
      <c r="D14" s="28">
        <f>ROUND(D13,4)</f>
        <v>-3.7000000000000002E-3</v>
      </c>
    </row>
  </sheetData>
  <mergeCells count="6">
    <mergeCell ref="A10:C10"/>
    <mergeCell ref="A13:C13"/>
    <mergeCell ref="A11:C11"/>
    <mergeCell ref="A14:C14"/>
    <mergeCell ref="C8:E8"/>
    <mergeCell ref="A12:C12"/>
  </mergeCells>
  <pageMargins left="0.75" right="0.75" top="1" bottom="1" header="0.5" footer="0.5"/>
  <pageSetup paperSize="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F12"/>
  <sheetViews>
    <sheetView zoomScale="110" workbookViewId="0"/>
  </sheetViews>
  <sheetFormatPr defaultRowHeight="14.4" x14ac:dyDescent="0.3"/>
  <cols>
    <col min="1" max="1" width="38" customWidth="1"/>
    <col min="2" max="2" width="16" customWidth="1"/>
    <col min="3" max="3" width="14" customWidth="1"/>
    <col min="4" max="4" width="24" customWidth="1"/>
    <col min="5" max="6" width="14" customWidth="1"/>
  </cols>
  <sheetData>
    <row r="1" spans="1:6" ht="17.399999999999999" x14ac:dyDescent="0.3">
      <c r="A1" s="1" t="s">
        <v>260</v>
      </c>
    </row>
    <row r="2" spans="1:6" x14ac:dyDescent="0.3">
      <c r="A2" s="4" t="s">
        <v>261</v>
      </c>
    </row>
    <row r="4" spans="1:6" ht="31.95" customHeight="1" x14ac:dyDescent="0.3">
      <c r="A4" s="6" t="s">
        <v>262</v>
      </c>
      <c r="B4" s="6" t="s">
        <v>263</v>
      </c>
      <c r="C4" s="6" t="s">
        <v>264</v>
      </c>
      <c r="D4" s="6" t="s">
        <v>265</v>
      </c>
      <c r="E4" s="6" t="s">
        <v>264</v>
      </c>
      <c r="F4" s="6" t="s">
        <v>266</v>
      </c>
    </row>
    <row r="5" spans="1:6" ht="15.6" x14ac:dyDescent="0.3">
      <c r="A5" s="2" t="s">
        <v>267</v>
      </c>
      <c r="B5" s="24">
        <f>'Котлован (оконч.)'!$C$56</f>
        <v>3635.720177060251</v>
      </c>
      <c r="C5" s="11">
        <f>B5*'Исходные данные'!$B$7</f>
        <v>4181.0782036192886</v>
      </c>
      <c r="D5" s="2" t="s">
        <v>268</v>
      </c>
      <c r="E5" s="11">
        <f>('Котлован (оконч.)'!$C$56-'Котлован (оконч.)'!$C$65/'Исходные данные'!$B$4-$B$12)*'Исходные данные'!$B$7</f>
        <v>3337.0102609084333</v>
      </c>
      <c r="F5" s="11">
        <f>('Котлован (оконч.)'!$C$56-'Котлован (оконч.)'!$C$65/'Исходные данные'!$B$4-$B$12)*'Исходные данные'!$B$4</f>
        <v>3017.8179750824092</v>
      </c>
    </row>
    <row r="6" spans="1:6" ht="15.6" x14ac:dyDescent="0.3">
      <c r="A6" s="2"/>
      <c r="B6" s="2"/>
      <c r="C6" s="2"/>
      <c r="D6" s="2" t="s">
        <v>269</v>
      </c>
      <c r="E6" s="11">
        <f>$B$12*'Исходные данные'!$B$7</f>
        <v>0</v>
      </c>
      <c r="F6" s="11">
        <f>$B$12*'Исходные данные'!$B$4</f>
        <v>0</v>
      </c>
    </row>
    <row r="7" spans="1:6" ht="15.6" x14ac:dyDescent="0.3">
      <c r="A7" s="2"/>
      <c r="B7" s="2"/>
      <c r="C7" s="2"/>
      <c r="D7" s="2" t="s">
        <v>270</v>
      </c>
      <c r="E7" s="11">
        <f>'Котлован (оконч.)'!$C$65/'Исходные данные'!$B$4*'Исходные данные'!$B$7</f>
        <v>844.06794271085516</v>
      </c>
      <c r="F7" s="11">
        <f>'Котлован (оконч.)'!$C$65</f>
        <v>763.33100906025174</v>
      </c>
    </row>
    <row r="8" spans="1:6" ht="15.6" x14ac:dyDescent="0.3">
      <c r="A8" s="2" t="s">
        <v>271</v>
      </c>
      <c r="B8" s="11">
        <f>'Котлован (оконч.)'!$C$57/'Исходные данные'!$B$4</f>
        <v>149.59999999999997</v>
      </c>
      <c r="C8" s="11">
        <f>B8*'Исходные данные'!$B$7</f>
        <v>172.03999999999994</v>
      </c>
      <c r="D8" s="2" t="s">
        <v>272</v>
      </c>
      <c r="E8" s="11">
        <f>'Котлован (оконч.)'!$C$57/'Исходные данные'!$B$4*'Исходные данные'!$B$7</f>
        <v>172.03999999999994</v>
      </c>
      <c r="F8" s="11">
        <f>'Котлован (оконч.)'!$C$57</f>
        <v>155.58399999999997</v>
      </c>
    </row>
    <row r="9" spans="1:6" ht="15.6" x14ac:dyDescent="0.3">
      <c r="A9" s="2" t="s">
        <v>273</v>
      </c>
      <c r="B9" s="11">
        <f>'Котлован (оконч.)'!$C$65/'Исходные данные'!$B$4</f>
        <v>733.97212409639587</v>
      </c>
      <c r="C9" s="11">
        <f>B9*'Исходные данные'!$B$7</f>
        <v>844.06794271085516</v>
      </c>
      <c r="D9" s="2" t="s">
        <v>223</v>
      </c>
      <c r="E9" s="11">
        <f>'Котлован (оконч.)'!$C$65/'Исходные данные'!$B$4*'Исходные данные'!$B$7</f>
        <v>844.06794271085516</v>
      </c>
      <c r="F9" s="11">
        <f>'Котлован (оконч.)'!$C$65</f>
        <v>763.33100906025174</v>
      </c>
    </row>
    <row r="10" spans="1:6" ht="15.6" x14ac:dyDescent="0.3">
      <c r="A10" s="14" t="s">
        <v>81</v>
      </c>
      <c r="B10" s="8"/>
      <c r="C10" s="16">
        <f>SUM(C5:C9)</f>
        <v>5197.1861463301439</v>
      </c>
      <c r="D10" s="14" t="s">
        <v>81</v>
      </c>
      <c r="E10" s="16">
        <f>SUM(E5:E9)</f>
        <v>5197.1861463301439</v>
      </c>
      <c r="F10" s="8"/>
    </row>
    <row r="12" spans="1:6" ht="31.2" x14ac:dyDescent="0.3">
      <c r="A12" s="2" t="s">
        <v>274</v>
      </c>
      <c r="B12" s="9">
        <v>0</v>
      </c>
    </row>
  </sheetData>
  <pageMargins left="0.75" right="0.75" top="1" bottom="1" header="0.5" footer="0.5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O20"/>
  <sheetViews>
    <sheetView zoomScale="110" workbookViewId="0"/>
  </sheetViews>
  <sheetFormatPr defaultRowHeight="14.4" x14ac:dyDescent="0.3"/>
  <cols>
    <col min="1" max="1" width="12" customWidth="1"/>
    <col min="2" max="2" width="11" customWidth="1"/>
    <col min="3" max="14" width="10" customWidth="1"/>
    <col min="15" max="15" width="18" customWidth="1"/>
  </cols>
  <sheetData>
    <row r="1" spans="1:15" ht="17.399999999999999" x14ac:dyDescent="0.3">
      <c r="A1" s="1" t="s">
        <v>275</v>
      </c>
    </row>
    <row r="2" spans="1:15" x14ac:dyDescent="0.3">
      <c r="A2" s="4" t="s">
        <v>276</v>
      </c>
    </row>
    <row r="4" spans="1:15" ht="31.2" x14ac:dyDescent="0.3">
      <c r="A4" s="6" t="s">
        <v>277</v>
      </c>
      <c r="B4" s="6" t="s">
        <v>237</v>
      </c>
      <c r="C4" s="6" t="s">
        <v>58</v>
      </c>
      <c r="D4" s="6" t="s">
        <v>60</v>
      </c>
      <c r="E4" s="6" t="s">
        <v>66</v>
      </c>
      <c r="F4" s="6" t="s">
        <v>67</v>
      </c>
      <c r="G4" s="6" t="s">
        <v>69</v>
      </c>
      <c r="H4" s="6" t="s">
        <v>73</v>
      </c>
      <c r="I4" s="6" t="s">
        <v>74</v>
      </c>
      <c r="J4" s="6" t="s">
        <v>75</v>
      </c>
      <c r="K4" s="6" t="s">
        <v>77</v>
      </c>
      <c r="L4" s="6" t="s">
        <v>79</v>
      </c>
      <c r="M4" s="6" t="s">
        <v>278</v>
      </c>
      <c r="N4" s="6" t="s">
        <v>279</v>
      </c>
    </row>
    <row r="5" spans="1:15" ht="15.6" x14ac:dyDescent="0.3">
      <c r="A5" s="29"/>
      <c r="B5" s="6" t="s">
        <v>280</v>
      </c>
      <c r="C5" s="9">
        <v>2422.0969749945648</v>
      </c>
      <c r="D5" s="9">
        <v>316.89691763080322</v>
      </c>
      <c r="E5" s="9">
        <v>4298</v>
      </c>
      <c r="F5" s="9">
        <v>2240.6796558686442</v>
      </c>
      <c r="G5" s="9">
        <v>284.20527187499999</v>
      </c>
      <c r="H5" s="9">
        <v>4923</v>
      </c>
      <c r="I5" s="9">
        <v>5323</v>
      </c>
      <c r="J5" s="9">
        <v>2490.4403474999999</v>
      </c>
      <c r="K5" s="9">
        <v>1500.365174050633</v>
      </c>
      <c r="L5" s="9">
        <v>441.60736718854099</v>
      </c>
      <c r="M5" s="9">
        <v>2901.748052963856</v>
      </c>
      <c r="N5" s="9">
        <v>554.40313033579719</v>
      </c>
    </row>
    <row r="6" spans="1:15" ht="31.95" customHeight="1" x14ac:dyDescent="0.3">
      <c r="A6" s="6" t="s">
        <v>281</v>
      </c>
      <c r="B6" s="6" t="s">
        <v>280</v>
      </c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6" t="s">
        <v>282</v>
      </c>
    </row>
    <row r="7" spans="1:15" ht="15.6" x14ac:dyDescent="0.3">
      <c r="A7" s="14" t="s">
        <v>59</v>
      </c>
      <c r="B7" s="9">
        <v>5.8748443857998884</v>
      </c>
      <c r="C7" s="9">
        <v>5.8748443857998884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11">
        <f t="shared" ref="O7:O18" si="0">SUM(C7:N7)-B7</f>
        <v>0</v>
      </c>
    </row>
    <row r="8" spans="1:15" ht="15.6" x14ac:dyDescent="0.3">
      <c r="A8" s="14" t="s">
        <v>61</v>
      </c>
      <c r="B8" s="9">
        <v>835.00357548112356</v>
      </c>
      <c r="C8" s="9">
        <v>835.00357548112356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11">
        <f t="shared" si="0"/>
        <v>0</v>
      </c>
    </row>
    <row r="9" spans="1:15" ht="15.6" x14ac:dyDescent="0.3">
      <c r="A9" s="14" t="s">
        <v>63</v>
      </c>
      <c r="B9" s="9">
        <v>3271.1538461538462</v>
      </c>
      <c r="C9" s="9">
        <v>1581.218555127642</v>
      </c>
      <c r="D9" s="9">
        <v>316.89691763080322</v>
      </c>
      <c r="E9" s="9">
        <v>1373.0383733954011</v>
      </c>
      <c r="F9" s="9"/>
      <c r="G9" s="9"/>
      <c r="H9" s="9"/>
      <c r="I9" s="9"/>
      <c r="J9" s="9"/>
      <c r="K9" s="9"/>
      <c r="L9" s="9"/>
      <c r="M9" s="9"/>
      <c r="N9" s="9"/>
      <c r="O9" s="11">
        <f t="shared" si="0"/>
        <v>0</v>
      </c>
    </row>
    <row r="10" spans="1:15" ht="15.6" x14ac:dyDescent="0.3">
      <c r="A10" s="14" t="s">
        <v>64</v>
      </c>
      <c r="B10" s="9">
        <v>5386.5384615384619</v>
      </c>
      <c r="C10" s="9"/>
      <c r="D10" s="9"/>
      <c r="E10" s="9">
        <v>2874.9177829292948</v>
      </c>
      <c r="F10" s="9">
        <v>2240.6796558686442</v>
      </c>
      <c r="G10" s="9"/>
      <c r="H10" s="9">
        <v>270.94102274052278</v>
      </c>
      <c r="I10" s="9"/>
      <c r="J10" s="9"/>
      <c r="K10" s="9"/>
      <c r="L10" s="9"/>
      <c r="M10" s="9"/>
      <c r="N10" s="9"/>
      <c r="O10" s="11">
        <f t="shared" si="0"/>
        <v>0</v>
      </c>
    </row>
    <row r="11" spans="1:15" ht="15.6" x14ac:dyDescent="0.3">
      <c r="A11" s="14" t="s">
        <v>65</v>
      </c>
      <c r="B11" s="9">
        <v>6179.8076923076924</v>
      </c>
      <c r="C11" s="9"/>
      <c r="D11" s="9"/>
      <c r="E11" s="9"/>
      <c r="F11" s="9"/>
      <c r="G11" s="9"/>
      <c r="H11" s="9">
        <v>2723.6565090080389</v>
      </c>
      <c r="I11" s="9"/>
      <c r="J11" s="9"/>
      <c r="K11" s="9"/>
      <c r="L11" s="9"/>
      <c r="M11" s="9">
        <v>2901.748052963856</v>
      </c>
      <c r="N11" s="9">
        <v>554.40313033579719</v>
      </c>
      <c r="O11" s="11">
        <f t="shared" si="0"/>
        <v>0</v>
      </c>
    </row>
    <row r="12" spans="1:15" ht="15.6" x14ac:dyDescent="0.3">
      <c r="A12" s="14" t="s">
        <v>68</v>
      </c>
      <c r="B12" s="9">
        <v>50.043843675304217</v>
      </c>
      <c r="C12" s="9"/>
      <c r="D12" s="9"/>
      <c r="E12" s="9">
        <v>50.043843675304217</v>
      </c>
      <c r="F12" s="9"/>
      <c r="G12" s="9"/>
      <c r="H12" s="9"/>
      <c r="I12" s="9"/>
      <c r="J12" s="9"/>
      <c r="K12" s="9"/>
      <c r="L12" s="9"/>
      <c r="M12" s="9"/>
      <c r="N12" s="9"/>
      <c r="O12" s="11">
        <f t="shared" si="0"/>
        <v>0</v>
      </c>
    </row>
    <row r="13" spans="1:15" ht="15.6" x14ac:dyDescent="0.3">
      <c r="A13" s="14" t="s">
        <v>70</v>
      </c>
      <c r="B13" s="9">
        <v>1087.527994591346</v>
      </c>
      <c r="C13" s="9"/>
      <c r="D13" s="9"/>
      <c r="E13" s="9"/>
      <c r="F13" s="9"/>
      <c r="G13" s="9"/>
      <c r="H13" s="9">
        <v>1087.527994591346</v>
      </c>
      <c r="I13" s="9"/>
      <c r="J13" s="9"/>
      <c r="K13" s="9"/>
      <c r="L13" s="9"/>
      <c r="M13" s="9"/>
      <c r="N13" s="9"/>
      <c r="O13" s="11">
        <f t="shared" si="0"/>
        <v>0</v>
      </c>
    </row>
    <row r="14" spans="1:15" ht="15.6" x14ac:dyDescent="0.3">
      <c r="A14" s="14" t="s">
        <v>71</v>
      </c>
      <c r="B14" s="9">
        <v>3872.1153846153852</v>
      </c>
      <c r="C14" s="9"/>
      <c r="D14" s="9"/>
      <c r="E14" s="9"/>
      <c r="F14" s="9"/>
      <c r="G14" s="9">
        <v>284.20527187499999</v>
      </c>
      <c r="H14" s="9">
        <v>840.87447366009201</v>
      </c>
      <c r="I14" s="9">
        <v>2747.0356390802931</v>
      </c>
      <c r="J14" s="9"/>
      <c r="K14" s="9"/>
      <c r="L14" s="9"/>
      <c r="M14" s="9"/>
      <c r="N14" s="9"/>
      <c r="O14" s="11">
        <f t="shared" si="0"/>
        <v>0</v>
      </c>
    </row>
    <row r="15" spans="1:15" ht="15.6" x14ac:dyDescent="0.3">
      <c r="A15" s="14" t="s">
        <v>72</v>
      </c>
      <c r="B15" s="9">
        <v>5242.3076923076924</v>
      </c>
      <c r="C15" s="9"/>
      <c r="D15" s="9"/>
      <c r="E15" s="9"/>
      <c r="F15" s="9"/>
      <c r="G15" s="9"/>
      <c r="H15" s="9"/>
      <c r="I15" s="9">
        <v>2571.70269024663</v>
      </c>
      <c r="J15" s="9">
        <v>2236.9391151484911</v>
      </c>
      <c r="K15" s="9">
        <v>433.66588691257112</v>
      </c>
      <c r="L15" s="9"/>
      <c r="M15" s="9"/>
      <c r="N15" s="9"/>
      <c r="O15" s="11">
        <f t="shared" si="0"/>
        <v>0</v>
      </c>
    </row>
    <row r="16" spans="1:15" ht="15.6" x14ac:dyDescent="0.3">
      <c r="A16" s="14" t="s">
        <v>76</v>
      </c>
      <c r="B16" s="9">
        <v>4.2616706730769227</v>
      </c>
      <c r="C16" s="9"/>
      <c r="D16" s="9"/>
      <c r="E16" s="9"/>
      <c r="F16" s="9"/>
      <c r="G16" s="9"/>
      <c r="H16" s="9"/>
      <c r="I16" s="9">
        <v>4.2616706730769227</v>
      </c>
      <c r="J16" s="9"/>
      <c r="K16" s="9"/>
      <c r="L16" s="9"/>
      <c r="M16" s="9"/>
      <c r="N16" s="9"/>
      <c r="O16" s="11">
        <f t="shared" si="0"/>
        <v>0</v>
      </c>
    </row>
    <row r="17" spans="1:15" ht="15.6" x14ac:dyDescent="0.3">
      <c r="A17" s="14" t="s">
        <v>78</v>
      </c>
      <c r="B17" s="9">
        <v>253.50123235150929</v>
      </c>
      <c r="C17" s="9"/>
      <c r="D17" s="9"/>
      <c r="E17" s="9"/>
      <c r="F17" s="9"/>
      <c r="G17" s="9"/>
      <c r="H17" s="9"/>
      <c r="I17" s="9"/>
      <c r="J17" s="9">
        <v>253.50123235150929</v>
      </c>
      <c r="K17" s="9"/>
      <c r="L17" s="9"/>
      <c r="M17" s="9"/>
      <c r="N17" s="9"/>
      <c r="O17" s="11">
        <f t="shared" si="0"/>
        <v>0</v>
      </c>
    </row>
    <row r="18" spans="1:15" ht="15.6" x14ac:dyDescent="0.3">
      <c r="A18" s="14" t="s">
        <v>80</v>
      </c>
      <c r="B18" s="9">
        <v>1508.3066543266029</v>
      </c>
      <c r="C18" s="9"/>
      <c r="D18" s="9"/>
      <c r="E18" s="9"/>
      <c r="F18" s="9"/>
      <c r="G18" s="9"/>
      <c r="H18" s="9"/>
      <c r="I18" s="9"/>
      <c r="J18" s="9"/>
      <c r="K18" s="9">
        <v>1066.6992871380619</v>
      </c>
      <c r="L18" s="9">
        <v>441.60736718854099</v>
      </c>
      <c r="M18" s="9"/>
      <c r="N18" s="9"/>
      <c r="O18" s="11">
        <f t="shared" si="0"/>
        <v>0</v>
      </c>
    </row>
    <row r="19" spans="1:15" ht="15.6" x14ac:dyDescent="0.3">
      <c r="A19" s="14" t="s">
        <v>81</v>
      </c>
      <c r="B19" s="16">
        <f t="shared" ref="B19:N19" si="1">SUM(B7:B18)</f>
        <v>27696.442892407838</v>
      </c>
      <c r="C19" s="16">
        <f t="shared" si="1"/>
        <v>2422.0969749945652</v>
      </c>
      <c r="D19" s="16">
        <f t="shared" si="1"/>
        <v>316.89691763080322</v>
      </c>
      <c r="E19" s="16">
        <f t="shared" si="1"/>
        <v>4298</v>
      </c>
      <c r="F19" s="16">
        <f t="shared" si="1"/>
        <v>2240.6796558686442</v>
      </c>
      <c r="G19" s="16">
        <f t="shared" si="1"/>
        <v>284.20527187499999</v>
      </c>
      <c r="H19" s="16">
        <f t="shared" si="1"/>
        <v>4923</v>
      </c>
      <c r="I19" s="16">
        <f t="shared" si="1"/>
        <v>5323</v>
      </c>
      <c r="J19" s="16">
        <f t="shared" si="1"/>
        <v>2490.4403475000004</v>
      </c>
      <c r="K19" s="16">
        <f t="shared" si="1"/>
        <v>1500.365174050633</v>
      </c>
      <c r="L19" s="16">
        <f t="shared" si="1"/>
        <v>441.60736718854099</v>
      </c>
      <c r="M19" s="16">
        <f t="shared" si="1"/>
        <v>2901.748052963856</v>
      </c>
      <c r="N19" s="16">
        <f t="shared" si="1"/>
        <v>554.40313033579719</v>
      </c>
    </row>
    <row r="20" spans="1:15" ht="15.6" x14ac:dyDescent="0.3">
      <c r="A20" s="30" t="s">
        <v>283</v>
      </c>
      <c r="B20" s="35"/>
      <c r="C20" s="11">
        <f t="shared" ref="C20:N20" si="2">C19-C5</f>
        <v>0</v>
      </c>
      <c r="D20" s="11">
        <f t="shared" si="2"/>
        <v>0</v>
      </c>
      <c r="E20" s="11">
        <f t="shared" si="2"/>
        <v>0</v>
      </c>
      <c r="F20" s="11">
        <f t="shared" si="2"/>
        <v>0</v>
      </c>
      <c r="G20" s="11">
        <f t="shared" si="2"/>
        <v>0</v>
      </c>
      <c r="H20" s="11">
        <f t="shared" si="2"/>
        <v>0</v>
      </c>
      <c r="I20" s="11">
        <f t="shared" si="2"/>
        <v>0</v>
      </c>
      <c r="J20" s="11">
        <f t="shared" si="2"/>
        <v>0</v>
      </c>
      <c r="K20" s="11">
        <f t="shared" si="2"/>
        <v>0</v>
      </c>
      <c r="L20" s="11">
        <f t="shared" si="2"/>
        <v>0</v>
      </c>
      <c r="M20" s="11">
        <f t="shared" si="2"/>
        <v>0</v>
      </c>
      <c r="N20" s="11">
        <f t="shared" si="2"/>
        <v>0</v>
      </c>
    </row>
  </sheetData>
  <mergeCells count="1">
    <mergeCell ref="A20:B20"/>
  </mergeCells>
  <pageMargins left="0.75" right="0.75" top="1" bottom="1" header="0.5" footer="0.5"/>
  <pageSetup paperSize="9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W15"/>
  <sheetViews>
    <sheetView zoomScale="110" workbookViewId="0"/>
  </sheetViews>
  <sheetFormatPr defaultRowHeight="14.4" x14ac:dyDescent="0.3"/>
  <cols>
    <col min="1" max="1" width="30" customWidth="1"/>
    <col min="2" max="23" width="11" customWidth="1"/>
  </cols>
  <sheetData>
    <row r="1" spans="1:23" ht="17.399999999999999" x14ac:dyDescent="0.3">
      <c r="A1" s="1" t="s">
        <v>284</v>
      </c>
    </row>
    <row r="2" spans="1:23" ht="15.6" x14ac:dyDescent="0.3">
      <c r="A2" s="29"/>
      <c r="B2" s="6" t="s">
        <v>277</v>
      </c>
      <c r="C2" s="6" t="s">
        <v>277</v>
      </c>
      <c r="D2" s="6" t="s">
        <v>277</v>
      </c>
      <c r="E2" s="6" t="s">
        <v>277</v>
      </c>
      <c r="F2" s="6" t="s">
        <v>277</v>
      </c>
      <c r="G2" s="6" t="s">
        <v>277</v>
      </c>
      <c r="H2" s="6" t="s">
        <v>277</v>
      </c>
      <c r="I2" s="6" t="s">
        <v>277</v>
      </c>
      <c r="J2" s="6" t="s">
        <v>277</v>
      </c>
      <c r="K2" s="6" t="s">
        <v>277</v>
      </c>
      <c r="L2" s="6" t="s">
        <v>268</v>
      </c>
      <c r="M2" s="6" t="s">
        <v>268</v>
      </c>
      <c r="N2" s="6" t="s">
        <v>268</v>
      </c>
      <c r="O2" s="6" t="s">
        <v>268</v>
      </c>
      <c r="P2" s="6" t="s">
        <v>268</v>
      </c>
      <c r="Q2" s="6" t="s">
        <v>268</v>
      </c>
      <c r="R2" s="6" t="s">
        <v>268</v>
      </c>
      <c r="S2" s="6" t="s">
        <v>268</v>
      </c>
      <c r="T2" s="6" t="s">
        <v>268</v>
      </c>
      <c r="U2" s="6" t="s">
        <v>268</v>
      </c>
      <c r="V2" s="6" t="s">
        <v>268</v>
      </c>
      <c r="W2" s="6" t="s">
        <v>268</v>
      </c>
    </row>
    <row r="3" spans="1:23" ht="15.6" x14ac:dyDescent="0.3">
      <c r="A3" s="6" t="s">
        <v>285</v>
      </c>
      <c r="B3" s="6" t="s">
        <v>58</v>
      </c>
      <c r="C3" s="6" t="s">
        <v>60</v>
      </c>
      <c r="D3" s="6" t="s">
        <v>66</v>
      </c>
      <c r="E3" s="6" t="s">
        <v>67</v>
      </c>
      <c r="F3" s="6" t="s">
        <v>69</v>
      </c>
      <c r="G3" s="6" t="s">
        <v>73</v>
      </c>
      <c r="H3" s="6" t="s">
        <v>74</v>
      </c>
      <c r="I3" s="6" t="s">
        <v>75</v>
      </c>
      <c r="J3" s="6" t="s">
        <v>77</v>
      </c>
      <c r="K3" s="6" t="s">
        <v>79</v>
      </c>
      <c r="L3" s="6" t="s">
        <v>59</v>
      </c>
      <c r="M3" s="6" t="s">
        <v>61</v>
      </c>
      <c r="N3" s="6" t="s">
        <v>63</v>
      </c>
      <c r="O3" s="6" t="s">
        <v>64</v>
      </c>
      <c r="P3" s="6" t="s">
        <v>65</v>
      </c>
      <c r="Q3" s="6" t="s">
        <v>68</v>
      </c>
      <c r="R3" s="6" t="s">
        <v>70</v>
      </c>
      <c r="S3" s="6" t="s">
        <v>71</v>
      </c>
      <c r="T3" s="6" t="s">
        <v>72</v>
      </c>
      <c r="U3" s="6" t="s">
        <v>76</v>
      </c>
      <c r="V3" s="6" t="s">
        <v>78</v>
      </c>
      <c r="W3" s="6" t="s">
        <v>80</v>
      </c>
    </row>
    <row r="4" spans="1:23" ht="15.6" x14ac:dyDescent="0.3">
      <c r="A4" s="14" t="s">
        <v>88</v>
      </c>
      <c r="B4" s="9">
        <v>2422.0969749945648</v>
      </c>
      <c r="C4" s="9">
        <v>316.89691763080322</v>
      </c>
      <c r="D4" s="9">
        <v>4298</v>
      </c>
      <c r="E4" s="9">
        <v>2240.6796558686442</v>
      </c>
      <c r="F4" s="9">
        <v>284.20527187499999</v>
      </c>
      <c r="G4" s="9">
        <v>4923</v>
      </c>
      <c r="H4" s="9">
        <v>5323</v>
      </c>
      <c r="I4" s="9">
        <v>2490.4403474999999</v>
      </c>
      <c r="J4" s="9">
        <v>1500.365174050633</v>
      </c>
      <c r="K4" s="9">
        <v>441.60736718854099</v>
      </c>
      <c r="L4" s="9">
        <v>5.8748443857998884</v>
      </c>
      <c r="M4" s="9">
        <v>835.00357548112356</v>
      </c>
      <c r="N4" s="9">
        <v>3271.1538461538462</v>
      </c>
      <c r="O4" s="9">
        <v>5386.5384615384619</v>
      </c>
      <c r="P4" s="9">
        <v>2723.6565090080389</v>
      </c>
      <c r="Q4" s="9">
        <v>50.043843675304217</v>
      </c>
      <c r="R4" s="9">
        <v>1087.527994591346</v>
      </c>
      <c r="S4" s="9">
        <v>3872.1153846153852</v>
      </c>
      <c r="T4" s="9">
        <v>5242.3076923076924</v>
      </c>
      <c r="U4" s="9">
        <v>4.2616706730769227</v>
      </c>
      <c r="V4" s="9">
        <v>253.50123235150929</v>
      </c>
      <c r="W4" s="9">
        <v>1508.3066543266029</v>
      </c>
    </row>
    <row r="5" spans="1:23" ht="15.6" x14ac:dyDescent="0.3">
      <c r="A5" s="14" t="s">
        <v>286</v>
      </c>
      <c r="B5" s="9">
        <v>49.088687062500753</v>
      </c>
      <c r="C5" s="9">
        <v>121.0338983050847</v>
      </c>
      <c r="D5" s="9">
        <v>50</v>
      </c>
      <c r="E5" s="9">
        <v>147.08716292185639</v>
      </c>
      <c r="F5" s="9">
        <v>227.16666666666671</v>
      </c>
      <c r="G5" s="9">
        <v>50</v>
      </c>
      <c r="H5" s="9">
        <v>150</v>
      </c>
      <c r="I5" s="9">
        <v>249.23684255149581</v>
      </c>
      <c r="J5" s="9">
        <v>347.77684871422503</v>
      </c>
      <c r="K5" s="9">
        <v>428.78947368421052</v>
      </c>
      <c r="L5" s="9">
        <v>92.691666666666663</v>
      </c>
      <c r="M5" s="9">
        <v>159.93316494450531</v>
      </c>
      <c r="N5" s="9">
        <v>250</v>
      </c>
      <c r="O5" s="9">
        <v>350</v>
      </c>
      <c r="P5" s="9">
        <v>450</v>
      </c>
      <c r="Q5" s="9">
        <v>187.70056497175139</v>
      </c>
      <c r="R5" s="9">
        <v>257.57398883862618</v>
      </c>
      <c r="S5" s="9">
        <v>350</v>
      </c>
      <c r="T5" s="9">
        <v>450</v>
      </c>
      <c r="U5" s="9">
        <v>293.83333333333331</v>
      </c>
      <c r="V5" s="9">
        <v>355.69073635988133</v>
      </c>
      <c r="W5" s="9">
        <v>457.80955662620897</v>
      </c>
    </row>
    <row r="6" spans="1:23" ht="15.6" x14ac:dyDescent="0.3">
      <c r="A6" s="14" t="s">
        <v>287</v>
      </c>
      <c r="B6" s="9">
        <v>249.06833838485301</v>
      </c>
      <c r="C6" s="9">
        <v>226.97826086956519</v>
      </c>
      <c r="D6" s="9">
        <v>150</v>
      </c>
      <c r="E6" s="9">
        <v>147.13807100281531</v>
      </c>
      <c r="F6" s="9">
        <v>120.375</v>
      </c>
      <c r="G6" s="9">
        <v>50</v>
      </c>
      <c r="H6" s="9">
        <v>50</v>
      </c>
      <c r="I6" s="9">
        <v>49.236842551495798</v>
      </c>
      <c r="J6" s="9">
        <v>36.167353529974193</v>
      </c>
      <c r="K6" s="9">
        <v>20.77215189873418</v>
      </c>
      <c r="L6" s="9">
        <v>293.64492753623188</v>
      </c>
      <c r="M6" s="9">
        <v>257.89470169305258</v>
      </c>
      <c r="N6" s="9">
        <v>250</v>
      </c>
      <c r="O6" s="9">
        <v>250</v>
      </c>
      <c r="P6" s="9">
        <v>250</v>
      </c>
      <c r="Q6" s="9">
        <v>187.04166666666671</v>
      </c>
      <c r="R6" s="9">
        <v>159.82683588369201</v>
      </c>
      <c r="S6" s="9">
        <v>150</v>
      </c>
      <c r="T6" s="9">
        <v>150</v>
      </c>
      <c r="U6" s="9">
        <v>93.833333333333329</v>
      </c>
      <c r="V6" s="9">
        <v>85.408271458645558</v>
      </c>
      <c r="W6" s="9">
        <v>60.761474345837151</v>
      </c>
    </row>
    <row r="7" spans="1:23" ht="15.6" x14ac:dyDescent="0.3">
      <c r="A7" s="14" t="s">
        <v>288</v>
      </c>
      <c r="B7" s="21">
        <f t="shared" ref="B7:W7" si="0">B5*B4</f>
        <v>118897.5604405379</v>
      </c>
      <c r="C7" s="21">
        <f t="shared" si="0"/>
        <v>38355.269301721441</v>
      </c>
      <c r="D7" s="21">
        <f t="shared" si="0"/>
        <v>214900</v>
      </c>
      <c r="E7" s="21">
        <f t="shared" si="0"/>
        <v>329575.2135984404</v>
      </c>
      <c r="F7" s="21">
        <f t="shared" si="0"/>
        <v>64561.964260937515</v>
      </c>
      <c r="G7" s="21">
        <f t="shared" si="0"/>
        <v>246150</v>
      </c>
      <c r="H7" s="21">
        <f t="shared" si="0"/>
        <v>798450</v>
      </c>
      <c r="I7" s="21">
        <f t="shared" si="0"/>
        <v>620709.48877375002</v>
      </c>
      <c r="J7" s="21">
        <f t="shared" si="0"/>
        <v>521792.27215189888</v>
      </c>
      <c r="K7" s="21">
        <f t="shared" si="0"/>
        <v>189356.59055184439</v>
      </c>
      <c r="L7" s="21">
        <f t="shared" si="0"/>
        <v>544.54911752710132</v>
      </c>
      <c r="M7" s="21">
        <f t="shared" si="0"/>
        <v>133544.76456667422</v>
      </c>
      <c r="N7" s="21">
        <f t="shared" si="0"/>
        <v>817788.4615384615</v>
      </c>
      <c r="O7" s="21">
        <f t="shared" si="0"/>
        <v>1885288.4615384617</v>
      </c>
      <c r="P7" s="21">
        <f t="shared" si="0"/>
        <v>1225645.4290536174</v>
      </c>
      <c r="Q7" s="21">
        <f t="shared" si="0"/>
        <v>9393.2577312126086</v>
      </c>
      <c r="R7" s="21">
        <f t="shared" si="0"/>
        <v>280118.92354056484</v>
      </c>
      <c r="S7" s="21">
        <f t="shared" si="0"/>
        <v>1355240.3846153847</v>
      </c>
      <c r="T7" s="21">
        <f t="shared" si="0"/>
        <v>2359038.4615384615</v>
      </c>
      <c r="U7" s="21">
        <f t="shared" si="0"/>
        <v>1252.2208994391024</v>
      </c>
      <c r="V7" s="21">
        <f t="shared" si="0"/>
        <v>90168.040003245711</v>
      </c>
      <c r="W7" s="21">
        <f t="shared" si="0"/>
        <v>690517.20067362278</v>
      </c>
    </row>
    <row r="8" spans="1:23" ht="15.6" x14ac:dyDescent="0.3">
      <c r="A8" s="14" t="s">
        <v>289</v>
      </c>
      <c r="B8" s="21">
        <f t="shared" ref="B8:W8" si="1">B6*B4</f>
        <v>603267.66896887508</v>
      </c>
      <c r="C8" s="21">
        <f t="shared" si="1"/>
        <v>71928.711238765565</v>
      </c>
      <c r="D8" s="21">
        <f t="shared" si="1"/>
        <v>644700</v>
      </c>
      <c r="E8" s="21">
        <f t="shared" si="1"/>
        <v>329689.28229976434</v>
      </c>
      <c r="F8" s="21">
        <f t="shared" si="1"/>
        <v>34211.209601953124</v>
      </c>
      <c r="G8" s="21">
        <f t="shared" si="1"/>
        <v>246150</v>
      </c>
      <c r="H8" s="21">
        <f t="shared" si="1"/>
        <v>266150</v>
      </c>
      <c r="I8" s="21">
        <f t="shared" si="1"/>
        <v>122621.41927374998</v>
      </c>
      <c r="J8" s="21">
        <f t="shared" si="1"/>
        <v>54264.237673950505</v>
      </c>
      <c r="K8" s="21">
        <f t="shared" si="1"/>
        <v>9173.1353108404546</v>
      </c>
      <c r="L8" s="21">
        <f t="shared" si="1"/>
        <v>1725.118253954847</v>
      </c>
      <c r="M8" s="21">
        <f t="shared" si="1"/>
        <v>215342.99801133666</v>
      </c>
      <c r="N8" s="21">
        <f t="shared" si="1"/>
        <v>817788.4615384615</v>
      </c>
      <c r="O8" s="21">
        <f t="shared" si="1"/>
        <v>1346634.6153846155</v>
      </c>
      <c r="P8" s="21">
        <f t="shared" si="1"/>
        <v>680914.1272520097</v>
      </c>
      <c r="Q8" s="21">
        <f t="shared" si="1"/>
        <v>9360.2839274350281</v>
      </c>
      <c r="R8" s="21">
        <f t="shared" si="1"/>
        <v>173816.15831047174</v>
      </c>
      <c r="S8" s="21">
        <f t="shared" si="1"/>
        <v>580817.30769230775</v>
      </c>
      <c r="T8" s="21">
        <f t="shared" si="1"/>
        <v>786346.15384615387</v>
      </c>
      <c r="U8" s="21">
        <f t="shared" si="1"/>
        <v>399.8867648237179</v>
      </c>
      <c r="V8" s="21">
        <f t="shared" si="1"/>
        <v>21651.102067778887</v>
      </c>
      <c r="W8" s="21">
        <f t="shared" si="1"/>
        <v>91646.936082521352</v>
      </c>
    </row>
    <row r="11" spans="1:23" ht="15.6" x14ac:dyDescent="0.3">
      <c r="A11" s="30" t="s">
        <v>290</v>
      </c>
      <c r="B11" s="31"/>
      <c r="C11" s="16">
        <f>SUM(B7:K7)/SUM(B4:K4)</f>
        <v>129.64977471365398</v>
      </c>
    </row>
    <row r="12" spans="1:23" ht="15.6" x14ac:dyDescent="0.3">
      <c r="A12" s="30" t="s">
        <v>291</v>
      </c>
      <c r="B12" s="31"/>
      <c r="C12" s="16">
        <f>SUM(B8:K8)/SUM(B4:K4)</f>
        <v>98.272565897910127</v>
      </c>
    </row>
    <row r="13" spans="1:23" ht="15.6" x14ac:dyDescent="0.3">
      <c r="A13" s="30" t="s">
        <v>292</v>
      </c>
      <c r="B13" s="31"/>
      <c r="C13" s="16">
        <f>SUM(L7:W7)/SUM(L4:W4)</f>
        <v>365.0343923663209</v>
      </c>
    </row>
    <row r="14" spans="1:23" ht="15.6" x14ac:dyDescent="0.3">
      <c r="A14" s="30" t="s">
        <v>293</v>
      </c>
      <c r="B14" s="31"/>
      <c r="C14" s="16">
        <f>SUM(L8:W8)/SUM(L4:W4)</f>
        <v>194.98293196512685</v>
      </c>
    </row>
    <row r="15" spans="1:23" ht="15.6" x14ac:dyDescent="0.3">
      <c r="A15" s="30" t="s">
        <v>294</v>
      </c>
      <c r="B15" s="31"/>
      <c r="C15" s="16">
        <f>SQRT((C11-C13)^2+(C12-C14)^2)</f>
        <v>254.47752971990917</v>
      </c>
    </row>
  </sheetData>
  <mergeCells count="5">
    <mergeCell ref="A15:B15"/>
    <mergeCell ref="A11:B11"/>
    <mergeCell ref="A13:B13"/>
    <mergeCell ref="A14:B14"/>
    <mergeCell ref="A12:B12"/>
  </mergeCells>
  <pageMargins left="0.75" right="0.75" top="1" bottom="1" header="0.5" footer="0.5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C15"/>
  <sheetViews>
    <sheetView zoomScale="110" workbookViewId="0"/>
  </sheetViews>
  <sheetFormatPr defaultRowHeight="14.4" x14ac:dyDescent="0.3"/>
  <cols>
    <col min="1" max="1" width="30" customWidth="1"/>
    <col min="2" max="3" width="11" customWidth="1"/>
  </cols>
  <sheetData>
    <row r="1" spans="1:3" ht="17.399999999999999" x14ac:dyDescent="0.3">
      <c r="A1" s="1" t="s">
        <v>295</v>
      </c>
    </row>
    <row r="2" spans="1:3" ht="31.2" x14ac:dyDescent="0.3">
      <c r="A2" s="29"/>
      <c r="B2" s="6" t="s">
        <v>278</v>
      </c>
      <c r="C2" s="6" t="s">
        <v>268</v>
      </c>
    </row>
    <row r="3" spans="1:3" ht="15.6" x14ac:dyDescent="0.3">
      <c r="A3" s="6" t="s">
        <v>285</v>
      </c>
      <c r="B3" s="6" t="s">
        <v>296</v>
      </c>
      <c r="C3" s="6" t="s">
        <v>65</v>
      </c>
    </row>
    <row r="4" spans="1:3" ht="15.6" x14ac:dyDescent="0.3">
      <c r="A4" s="14" t="s">
        <v>88</v>
      </c>
      <c r="B4" s="9">
        <v>2901.748052963856</v>
      </c>
      <c r="C4" s="9">
        <v>2901.748052963856</v>
      </c>
    </row>
    <row r="5" spans="1:3" ht="15.6" x14ac:dyDescent="0.3">
      <c r="A5" s="14" t="s">
        <v>286</v>
      </c>
      <c r="B5" s="9">
        <v>250</v>
      </c>
      <c r="C5" s="9">
        <v>450</v>
      </c>
    </row>
    <row r="6" spans="1:3" ht="15.6" x14ac:dyDescent="0.3">
      <c r="A6" s="14" t="s">
        <v>287</v>
      </c>
      <c r="B6" s="9">
        <v>150</v>
      </c>
      <c r="C6" s="9">
        <v>250</v>
      </c>
    </row>
    <row r="7" spans="1:3" ht="15.6" x14ac:dyDescent="0.3">
      <c r="A7" s="14" t="s">
        <v>288</v>
      </c>
      <c r="B7" s="21">
        <f>B5*B4</f>
        <v>725437.01324096404</v>
      </c>
      <c r="C7" s="21">
        <f>C5*C4</f>
        <v>1305786.6238337352</v>
      </c>
    </row>
    <row r="8" spans="1:3" ht="15.6" x14ac:dyDescent="0.3">
      <c r="A8" s="14" t="s">
        <v>289</v>
      </c>
      <c r="B8" s="21">
        <f>B6*B4</f>
        <v>435262.20794457837</v>
      </c>
      <c r="C8" s="21">
        <f>C6*C4</f>
        <v>725437.01324096404</v>
      </c>
    </row>
    <row r="11" spans="1:3" ht="15.6" x14ac:dyDescent="0.3">
      <c r="A11" s="30" t="s">
        <v>297</v>
      </c>
      <c r="B11" s="31"/>
      <c r="C11" s="16">
        <f>SUM(B7:B7)/SUM(B4:B4)</f>
        <v>250</v>
      </c>
    </row>
    <row r="12" spans="1:3" ht="15.6" x14ac:dyDescent="0.3">
      <c r="A12" s="30" t="s">
        <v>298</v>
      </c>
      <c r="B12" s="31"/>
      <c r="C12" s="16">
        <f>SUM(B8:B8)/SUM(B4:B4)</f>
        <v>150</v>
      </c>
    </row>
    <row r="13" spans="1:3" ht="15.6" x14ac:dyDescent="0.3">
      <c r="A13" s="30" t="s">
        <v>292</v>
      </c>
      <c r="B13" s="31"/>
      <c r="C13" s="16">
        <f>SUM(C7:C7)/SUM(C4:C4)</f>
        <v>450</v>
      </c>
    </row>
    <row r="14" spans="1:3" ht="15.6" x14ac:dyDescent="0.3">
      <c r="A14" s="30" t="s">
        <v>293</v>
      </c>
      <c r="B14" s="31"/>
      <c r="C14" s="16">
        <f>SUM(C8:C8)/SUM(C4:C4)</f>
        <v>250</v>
      </c>
    </row>
    <row r="15" spans="1:3" ht="15.6" x14ac:dyDescent="0.3">
      <c r="A15" s="30" t="s">
        <v>294</v>
      </c>
      <c r="B15" s="31"/>
      <c r="C15" s="16">
        <f>SQRT((C11-C13)^2+(C12-C14)^2)</f>
        <v>223.60679774997897</v>
      </c>
    </row>
  </sheetData>
  <mergeCells count="5">
    <mergeCell ref="A15:B15"/>
    <mergeCell ref="A11:B11"/>
    <mergeCell ref="A13:B13"/>
    <mergeCell ref="A14:B14"/>
    <mergeCell ref="A12:B12"/>
  </mergeCells>
  <pageMargins left="0.75" right="0.75" top="1" bottom="1" header="0.5" footer="0.5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Исходные данные</vt:lpstr>
      <vt:lpstr>ЛНР</vt:lpstr>
      <vt:lpstr>Объёмы</vt:lpstr>
      <vt:lpstr>Котлован</vt:lpstr>
      <vt:lpstr>Сводный баланс</vt:lpstr>
      <vt:lpstr>Отметки (оконч.)</vt:lpstr>
      <vt:lpstr>ЛНР (оконч.)</vt:lpstr>
      <vt:lpstr>Объёмы (оконч.)</vt:lpstr>
      <vt:lpstr>Котлован (оконч.)</vt:lpstr>
      <vt:lpstr>Баланс (оконч.)</vt:lpstr>
      <vt:lpstr>Табл. 3 котлован</vt:lpstr>
      <vt:lpstr>Табл. 4 распределение</vt:lpstr>
      <vt:lpstr>Табл. 5 скрепер</vt:lpstr>
      <vt:lpstr>Табл. 6 самосвал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Даниил</cp:lastModifiedBy>
  <dcterms:created xsi:type="dcterms:W3CDTF">2026-10-07T09:45:21Z</dcterms:created>
  <dcterms:modified xsi:type="dcterms:W3CDTF">2026-10-07T09:45:25Z</dcterms:modified>
</cp:coreProperties>
</file>