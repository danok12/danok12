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сходные данные" sheetId="1" state="visible" r:id="rId3"/>
    <sheet name="ЛНР" sheetId="2" state="visible" r:id="rId4"/>
    <sheet name="Объёмы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Супесь: остаточное разрыхление 3–5 % (табл. П2.1 методички), Kор = 1,03…1,05. Принято 1,04 — по указанию преподавателя брать в этом диапазоне.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пятиугольник: h1, h7, h8; т.0 на h1–h2, h2–h8</t>
        </r>
      </text>
    </comment>
    <comment ref="A7" authorId="0">
      <text>
        <r>
          <rPr>
            <sz val="10"/>
            <rFont val="Arial"/>
            <family val="2"/>
          </rPr>
          <t xml:space="preserve">треугольник: h8; т.0 на h2–h8, h8–h9</t>
        </r>
      </text>
    </comment>
    <comment ref="A11" authorId="0">
      <text>
        <r>
          <rPr>
            <sz val="10"/>
            <rFont val="Arial"/>
            <family val="2"/>
          </rPr>
          <t xml:space="preserve">квадрат: h13, h14, h8, h7</t>
        </r>
      </text>
    </comment>
    <comment ref="A12" authorId="0">
      <text>
        <r>
          <rPr>
            <sz val="10"/>
            <rFont val="Arial"/>
            <family val="2"/>
          </rPr>
          <t xml:space="preserve">пятиугольник: h8, h14, h15; т.0 на h8–h9, h9–h15</t>
        </r>
      </text>
    </comment>
    <comment ref="A13" authorId="0">
      <text>
        <r>
          <rPr>
            <sz val="10"/>
            <rFont val="Arial"/>
            <family val="2"/>
          </rPr>
          <t xml:space="preserve">треугольник: h15; т.0 на h9–h15, h15–h16</t>
        </r>
      </text>
    </comment>
    <comment ref="A16" authorId="0">
      <text>
        <r>
          <rPr>
            <sz val="10"/>
            <rFont val="Arial"/>
            <family val="2"/>
          </rPr>
          <t xml:space="preserve">квадрат: h19, h20, h14, h13</t>
        </r>
      </text>
    </comment>
    <comment ref="A17" authorId="0">
      <text>
        <r>
          <rPr>
            <sz val="10"/>
            <rFont val="Arial"/>
            <family val="2"/>
          </rPr>
          <t xml:space="preserve">квадрат: h20, h21, h15, h14</t>
        </r>
      </text>
    </comment>
    <comment ref="A18" authorId="0">
      <text>
        <r>
          <rPr>
            <sz val="10"/>
            <rFont val="Arial"/>
            <family val="2"/>
          </rPr>
          <t xml:space="preserve">пятиугольник: h15, h21, h22; т.0 на h15–h16, h16–h22</t>
        </r>
      </text>
    </comment>
    <comment ref="A19" authorId="0">
      <text>
        <r>
          <rPr>
            <sz val="10"/>
            <rFont val="Arial"/>
            <family val="2"/>
          </rPr>
          <t xml:space="preserve">трапеция: h22, h23; т.0 на h16–h22, h17–h23</t>
        </r>
      </text>
    </comment>
    <comment ref="A20" authorId="0">
      <text>
        <r>
          <rPr>
            <sz val="10"/>
            <rFont val="Arial"/>
            <family val="2"/>
          </rPr>
          <t xml:space="preserve">треугольник: h23; т.0 на h17–h23, h23–h24</t>
        </r>
      </text>
    </comment>
    <comment ref="E6" authorId="0">
      <text>
        <r>
          <rPr>
            <sz val="10"/>
            <rFont val="Arial"/>
            <family val="2"/>
          </rPr>
          <t xml:space="preserve">треугольник: h2; т.0 на h2–h8, h1–h2</t>
        </r>
      </text>
    </comment>
    <comment ref="E7" authorId="0">
      <text>
        <r>
          <rPr>
            <sz val="10"/>
            <rFont val="Arial"/>
            <family val="2"/>
          </rPr>
          <t xml:space="preserve">пятиугольник: h9, h3, h2; т.0 на h8–h9, h2–h8</t>
        </r>
      </text>
    </comment>
    <comment ref="E8" authorId="0">
      <text>
        <r>
          <rPr>
            <sz val="10"/>
            <rFont val="Arial"/>
            <family val="2"/>
          </rPr>
          <t xml:space="preserve">квадрат: h9, h10, h4, h3</t>
        </r>
      </text>
    </comment>
    <comment ref="E9" authorId="0">
      <text>
        <r>
          <rPr>
            <sz val="10"/>
            <rFont val="Arial"/>
            <family val="2"/>
          </rPr>
          <t xml:space="preserve">квадрат: h10, h11, h5, h4</t>
        </r>
      </text>
    </comment>
    <comment ref="E10" authorId="0">
      <text>
        <r>
          <rPr>
            <sz val="10"/>
            <rFont val="Arial"/>
            <family val="2"/>
          </rPr>
          <t xml:space="preserve">квадрат: h11, h12, h6, h5</t>
        </r>
      </text>
    </comment>
    <comment ref="E12" authorId="0">
      <text>
        <r>
          <rPr>
            <sz val="10"/>
            <rFont val="Arial"/>
            <family val="2"/>
          </rPr>
          <t xml:space="preserve">треугольник: h9; т.0 на h9–h15, h8–h9</t>
        </r>
      </text>
    </comment>
    <comment ref="E13" authorId="0">
      <text>
        <r>
          <rPr>
            <sz val="10"/>
            <rFont val="Arial"/>
            <family val="2"/>
          </rPr>
          <t xml:space="preserve">пятиугольник: h16, h10, h9; т.0 на h15–h16, h9–h15</t>
        </r>
      </text>
    </comment>
    <comment ref="E14" authorId="0">
      <text>
        <r>
          <rPr>
            <sz val="10"/>
            <rFont val="Arial"/>
            <family val="2"/>
          </rPr>
          <t xml:space="preserve">квадрат: h16, h17, h11, h10</t>
        </r>
      </text>
    </comment>
    <comment ref="E15" authorId="0">
      <text>
        <r>
          <rPr>
            <sz val="10"/>
            <rFont val="Arial"/>
            <family val="2"/>
          </rPr>
          <t xml:space="preserve">квадрат: h17, h18, h12, h11</t>
        </r>
      </text>
    </comment>
    <comment ref="E18" authorId="0">
      <text>
        <r>
          <rPr>
            <sz val="10"/>
            <rFont val="Arial"/>
            <family val="2"/>
          </rPr>
          <t xml:space="preserve">треугольник: h16; т.0 на h16–h22, h15–h16</t>
        </r>
      </text>
    </comment>
    <comment ref="E19" authorId="0">
      <text>
        <r>
          <rPr>
            <sz val="10"/>
            <rFont val="Arial"/>
            <family val="2"/>
          </rPr>
          <t xml:space="preserve">трапеция: h17, h16; т.0 на h17–h23, h16–h22</t>
        </r>
      </text>
    </comment>
    <comment ref="E20" authorId="0">
      <text>
        <r>
          <rPr>
            <sz val="10"/>
            <rFont val="Arial"/>
            <family val="2"/>
          </rPr>
          <t xml:space="preserve">пятиугольник: h24, h18, h17; т.0 на h23–h24, h17–h23</t>
        </r>
      </text>
    </comment>
  </commentList>
</comments>
</file>

<file path=xl/sharedStrings.xml><?xml version="1.0" encoding="utf-8"?>
<sst xmlns="http://schemas.openxmlformats.org/spreadsheetml/2006/main" count="175" uniqueCount="90">
  <si>
    <t xml:space="preserve">Курсовая работа «Технологическая карта на производство земляных работ». Вариант 2</t>
  </si>
  <si>
    <t xml:space="preserve">Сторона квадрата сетки a, м</t>
  </si>
  <si>
    <t xml:space="preserve">Редактировать можно только синие ячейки (жёлтая — принятое допущение).</t>
  </si>
  <si>
    <t xml:space="preserve">Коэффициент остаточного разрыхления Kор</t>
  </si>
  <si>
    <t xml:space="preserve">Рабочая отметка h = Hкр − Hчёрн: «−» — выемка (ПВ), «+» — насыпь (ПН).</t>
  </si>
  <si>
    <t xml:space="preserve">Грунт</t>
  </si>
  <si>
    <t xml:space="preserve">супесь</t>
  </si>
  <si>
    <t xml:space="preserve">Отметки — приложение 1 методички, вариант 2. Вершины нумеруются построчно слева направо, сверху вниз.</t>
  </si>
  <si>
    <t xml:space="preserve">Число квадратов</t>
  </si>
  <si>
    <t xml:space="preserve">№ вершины</t>
  </si>
  <si>
    <t xml:space="preserve">h, м</t>
  </si>
  <si>
    <t xml:space="preserve">Схема сетки (вид в плане, квадрат 100×100 м)</t>
  </si>
  <si>
    <t xml:space="preserve">h1</t>
  </si>
  <si>
    <t xml:space="preserve">h2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</si>
  <si>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</si>
  <si>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</si>
  <si>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</si>
  <si>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</si>
  <si>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</si>
  <si>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</si>
  <si>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h9</t>
  </si>
  <si>
    <t xml:space="preserve">h10</t>
  </si>
  <si>
    <t xml:space="preserve">h11</t>
  </si>
  <si>
    <t xml:space="preserve">h12</t>
  </si>
  <si>
    <t xml:space="preserve">h13</t>
  </si>
  <si>
    <t xml:space="preserve">h14</t>
  </si>
  <si>
    <t xml:space="preserve">h15</t>
  </si>
  <si>
    <t xml:space="preserve">h16</t>
  </si>
  <si>
    <t xml:space="preserve">h17</t>
  </si>
  <si>
    <t xml:space="preserve">h18</t>
  </si>
  <si>
    <t xml:space="preserve">h19</t>
  </si>
  <si>
    <t xml:space="preserve">h20</t>
  </si>
  <si>
    <t xml:space="preserve">h21</t>
  </si>
  <si>
    <t xml:space="preserve">h22</t>
  </si>
  <si>
    <t xml:space="preserve">h23</t>
  </si>
  <si>
    <t xml:space="preserve">h24</t>
  </si>
  <si>
    <t xml:space="preserve">Точки нулевых работ на сторонах квадратов</t>
  </si>
  <si>
    <t xml:space="preserve">x1 = a·|h1| / (|h1| + |h2|) — расстояние от вершины 1 до точки нуля;  x2 = a − x1</t>
  </si>
  <si>
    <t xml:space="preserve">№ т.0</t>
  </si>
  <si>
    <t xml:space="preserve">Сторона</t>
  </si>
  <si>
    <t xml:space="preserve">Вершина 1</t>
  </si>
  <si>
    <t xml:space="preserve">h1, м</t>
  </si>
  <si>
    <t xml:space="preserve">Вершина 2</t>
  </si>
  <si>
    <t xml:space="preserve">h2, м</t>
  </si>
  <si>
    <t xml:space="preserve">x1 (от верш. 1), м</t>
  </si>
  <si>
    <t xml:space="preserve">x2 (от верш. 2), м</t>
  </si>
  <si>
    <t xml:space="preserve">горизонтальная</t>
  </si>
  <si>
    <t xml:space="preserve">вертикальная</t>
  </si>
  <si>
    <t xml:space="preserve">Объёмы планировочных работ (метод квадратов)</t>
  </si>
  <si>
    <t xml:space="preserve">Vi = Fi · hср,i;   hср,i = (|h1| + |h2| + … + |hn|) / n, в точках нуля h = 0</t>
  </si>
  <si>
    <t xml:space="preserve">Планировочная выемка (ПВ)</t>
  </si>
  <si>
    <t xml:space="preserve">Планировочная насыпь (ПН)</t>
  </si>
  <si>
    <t xml:space="preserve">№ фигуры</t>
  </si>
  <si>
    <t xml:space="preserve">Fi, м²</t>
  </si>
  <si>
    <t xml:space="preserve">hср, м</t>
  </si>
  <si>
    <t xml:space="preserve">Vi, м³</t>
  </si>
  <si>
    <t xml:space="preserve">Vгр = Vi / Kор, м³</t>
  </si>
  <si>
    <t xml:space="preserve">1</t>
  </si>
  <si>
    <t xml:space="preserve">1'</t>
  </si>
  <si>
    <t xml:space="preserve">2</t>
  </si>
  <si>
    <t xml:space="preserve">2'</t>
  </si>
  <si>
    <t xml:space="preserve">—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</si>
  <si>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</si>
  <si>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</si>
  <si>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</si>
  <si>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</si>
  <si>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</si>
  <si>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7'</t>
  </si>
  <si>
    <t xml:space="preserve">8</t>
  </si>
  <si>
    <t xml:space="preserve">8'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</si>
  <si>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</si>
  <si>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</si>
  <si>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</si>
  <si>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</si>
  <si>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</si>
  <si>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13'</t>
  </si>
  <si>
    <t xml:space="preserve">14</t>
  </si>
  <si>
    <t xml:space="preserve">14'</t>
  </si>
  <si>
    <t xml:space="preserve">15</t>
  </si>
  <si>
    <t xml:space="preserve">15'</t>
  </si>
  <si>
    <t xml:space="preserve">Σ</t>
  </si>
  <si>
    <t xml:space="preserve">Сопоставление объёмов</t>
  </si>
  <si>
    <t xml:space="preserve">Площадь ПВ + ПН, м² (проверка)</t>
  </si>
  <si>
    <t xml:space="preserve">Площадь площадки 5 × 3 × a², м²</t>
  </si>
  <si>
    <t xml:space="preserve">ΣVпв — объём выемки, м³</t>
  </si>
  <si>
    <t xml:space="preserve">ΣVпн — объём насыпи, м³</t>
  </si>
  <si>
    <t xml:space="preserve">ΣVгр = ΣVпн / Kор — грунта в плотном теле на насыпь, м³</t>
  </si>
  <si>
    <t xml:space="preserve">Разница ΣVгр − ΣVпв, м³ («+» — не хватает грунта)</t>
  </si>
  <si>
    <t xml:space="preserve">Разница в % от ΣVпв</t>
  </si>
  <si>
    <t xml:space="preserve">Разницу покрывают в сводном балансе грунта: грунт из котлована, завоз из резерва или поправка отметок Δh — следующий этап.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</si>
</sst>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00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GOST type B"/>
      <family val="0"/>
      <charset val="1"/>
    </font>
    <font>
      <sz val="12"/>
      <name val="GOST type B"/>
      <family val="0"/>
      <charset val="1"/>
    </font>
    <font>
      <sz val="12"/>
      <color rgb="FF0000FF"/>
      <name val="GOST type B"/>
      <family val="0"/>
      <charset val="1"/>
    </font>
    <font>
      <i val="true"/>
      <sz val="11"/>
      <name val="GOST type B"/>
      <family val="0"/>
      <charset val="1"/>
    </font>
    <font>
      <b val="true"/>
      <sz val="12"/>
      <name val="GOST type B"/>
      <family val="0"/>
      <charset val="1"/>
    </font>
    <font>
      <sz val="9"/>
      <color rgb="FF808080"/>
      <name val="GOST type B"/>
      <family val="0"/>
      <charset val="1"/>
    </font>
    <font>
      <sz val="10"/>
      <name val="Arial"/>
      <family val="2"/>
    </font>
    <font>
      <i val="true"/>
      <sz val="12"/>
      <name val="GOST type B"/>
      <family val="0"/>
      <charset val="1"/>
    </font>
    <font>
      <sz val="12"/>
      <color rgb="FF008000"/>
      <name val="GOST type B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9" min="4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100</v>
      </c>
      <c r="D3" s="4" t="s">
        <v>2</v>
      </c>
    </row>
    <row r="4" customFormat="false" ht="15" hidden="false" customHeight="false" outlineLevel="0" collapsed="false">
      <c r="A4" s="2" t="s">
        <v>3</v>
      </c>
      <c r="B4" s="5" t="n">
        <v>1.04</v>
      </c>
      <c r="D4" s="4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  <c r="D5" s="4" t="s">
        <v>7</v>
      </c>
    </row>
    <row r="6" customFormat="false" ht="15" hidden="false" customHeight="false" outlineLevel="0" collapsed="false">
      <c r="A6" s="2" t="s">
        <v>8</v>
      </c>
      <c r="B6" s="3" t="n">
        <v>15</v>
      </c>
    </row>
    <row r="8" customFormat="false" ht="15" hidden="false" customHeight="false" outlineLevel="0" collapsed="false">
      <c r="A8" s="6" t="s">
        <v>9</v>
      </c>
      <c r="B8" s="6" t="s">
        <v>10</v>
      </c>
      <c r="D8" s="7" t="s">
        <v>11</v>
      </c>
    </row>
    <row r="9" customFormat="false" ht="15" hidden="false" customHeight="false" outlineLevel="0" collapsed="false">
      <c r="A9" s="8" t="s">
        <v>12</v>
      </c>
      <c r="B9" s="9" t="n">
        <v>-0.25</v>
      </c>
      <c r="D9" s="10" t="s">
        <v>12</v>
      </c>
      <c r="E9" s="10" t="s">
        <v>13</v>
      </c>
      <c r="F9" s="10" t="s">
        <v>14</v>
      </c>
      <c r="G9" s="10" t="s">
        <v>15</v>
      </c>
      <c r="H9" s="10" t="s">
        <v>16</v>
      </c>
      <c r="I9" s="10" t="s">
        <v>17</v>
      </c>
    </row>
    <row r="10" customFormat="false" ht="15" hidden="false" customHeight="false" outlineLevel="0" collapsed="false">
      <c r="A10" s="8" t="s">
        <v>13</v>
      </c>
      <c r="B10" s="9" t="n">
        <v>0.15</v>
      </c>
      <c r="D10" s="11" t="n">
        <f aca="false">B9</f>
        <v>-0.25</v>
      </c>
      <c r="E10" s="11" t="n">
        <f aca="false">B10</f>
        <v>0.15</v>
      </c>
      <c r="F10" s="11" t="n">
        <f aca="false">B11</f>
        <v>0.34</v>
      </c>
      <c r="G10" s="11" t="n">
        <f aca="false">B12</f>
        <v>0.47</v>
      </c>
      <c r="H10" s="11" t="n">
        <f aca="false">B13</f>
        <v>0.66</v>
      </c>
      <c r="I10" s="11" t="n">
        <f aca="false">B14</f>
        <v>0.85</v>
      </c>
    </row>
    <row r="11" customFormat="false" ht="15" hidden="false" customHeight="false" outlineLevel="0" collapsed="false">
      <c r="A11" s="8" t="s">
        <v>14</v>
      </c>
      <c r="B11" s="9" t="n">
        <v>0.34</v>
      </c>
      <c r="D11" s="10" t="s">
        <v>18</v>
      </c>
      <c r="E11" s="10" t="s">
        <v>19</v>
      </c>
      <c r="F11" s="10" t="s">
        <v>20</v>
      </c>
      <c r="G11" s="10" t="s">
        <v>21</v>
      </c>
      <c r="H11" s="10" t="s">
        <v>22</v>
      </c>
      <c r="I11" s="10" t="s">
        <v>23</v>
      </c>
    </row>
    <row r="12" customFormat="false" ht="15" hidden="false" customHeight="false" outlineLevel="0" collapsed="false">
      <c r="A12" s="8" t="s">
        <v>15</v>
      </c>
      <c r="B12" s="9" t="n">
        <v>0.47</v>
      </c>
      <c r="D12" s="11" t="n">
        <f aca="false">B15</f>
        <v>-0.49</v>
      </c>
      <c r="E12" s="11" t="n">
        <f aca="false">B16</f>
        <v>-0.31</v>
      </c>
      <c r="F12" s="11" t="n">
        <f aca="false">B17</f>
        <v>0.28</v>
      </c>
      <c r="G12" s="11" t="n">
        <f aca="false">B18</f>
        <v>0.52</v>
      </c>
      <c r="H12" s="11" t="n">
        <f aca="false">B19</f>
        <v>0.84</v>
      </c>
      <c r="I12" s="11" t="n">
        <f aca="false">B20</f>
        <v>0.47</v>
      </c>
    </row>
    <row r="13" customFormat="false" ht="15" hidden="false" customHeight="false" outlineLevel="0" collapsed="false">
      <c r="A13" s="8" t="s">
        <v>16</v>
      </c>
      <c r="B13" s="9" t="n">
        <v>0.66</v>
      </c>
      <c r="D13" s="10" t="s">
        <v>24</v>
      </c>
      <c r="E13" s="10" t="s">
        <v>25</v>
      </c>
      <c r="F13" s="10" t="s">
        <v>26</v>
      </c>
      <c r="G13" s="10" t="s">
        <v>27</v>
      </c>
      <c r="H13" s="10" t="s">
        <v>28</v>
      </c>
      <c r="I13" s="10" t="s">
        <v>29</v>
      </c>
    </row>
    <row r="14" customFormat="false" ht="15" hidden="false" customHeight="false" outlineLevel="0" collapsed="false">
      <c r="A14" s="8" t="s">
        <v>17</v>
      </c>
      <c r="B14" s="9" t="n">
        <v>0.85</v>
      </c>
      <c r="D14" s="11" t="n">
        <f aca="false">B21</f>
        <v>-0.24</v>
      </c>
      <c r="E14" s="11" t="n">
        <f aca="false">B22</f>
        <v>-0.43</v>
      </c>
      <c r="F14" s="11" t="n">
        <f aca="false">B23</f>
        <v>-0.28</v>
      </c>
      <c r="G14" s="11" t="n">
        <f aca="false">B24</f>
        <v>0.14</v>
      </c>
      <c r="H14" s="11" t="n">
        <f aca="false">B25</f>
        <v>0.36</v>
      </c>
      <c r="I14" s="11" t="n">
        <f aca="false">B26</f>
        <v>0.76</v>
      </c>
    </row>
    <row r="15" customFormat="false" ht="15" hidden="false" customHeight="false" outlineLevel="0" collapsed="false">
      <c r="A15" s="8" t="s">
        <v>18</v>
      </c>
      <c r="B15" s="9" t="n">
        <v>-0.49</v>
      </c>
      <c r="D15" s="10" t="s">
        <v>30</v>
      </c>
      <c r="E15" s="10" t="s">
        <v>31</v>
      </c>
      <c r="F15" s="10" t="s">
        <v>32</v>
      </c>
      <c r="G15" s="10" t="s">
        <v>33</v>
      </c>
      <c r="H15" s="10" t="s">
        <v>34</v>
      </c>
      <c r="I15" s="10" t="s">
        <v>35</v>
      </c>
    </row>
    <row r="16" customFormat="false" ht="15" hidden="false" customHeight="false" outlineLevel="0" collapsed="false">
      <c r="A16" s="8" t="s">
        <v>19</v>
      </c>
      <c r="B16" s="9" t="n">
        <v>-0.31</v>
      </c>
      <c r="D16" s="11" t="n">
        <f aca="false">B27</f>
        <v>-0.4</v>
      </c>
      <c r="E16" s="11" t="n">
        <f aca="false">B28</f>
        <v>-0.65</v>
      </c>
      <c r="F16" s="11" t="n">
        <f aca="false">B29</f>
        <v>-0.52</v>
      </c>
      <c r="G16" s="11" t="n">
        <f aca="false">B30</f>
        <v>-0.28</v>
      </c>
      <c r="H16" s="11" t="n">
        <f aca="false">B31</f>
        <v>-0.43</v>
      </c>
      <c r="I16" s="11" t="n">
        <f aca="false">B32</f>
        <v>0.14</v>
      </c>
    </row>
    <row r="17" customFormat="false" ht="15" hidden="false" customHeight="false" outlineLevel="0" collapsed="false">
      <c r="A17" s="8" t="s">
        <v>20</v>
      </c>
      <c r="B17" s="9" t="n">
        <v>0.28</v>
      </c>
    </row>
    <row r="18" customFormat="false" ht="15" hidden="false" customHeight="false" outlineLevel="0" collapsed="false">
      <c r="A18" s="8" t="s">
        <v>21</v>
      </c>
      <c r="B18" s="9" t="n">
        <v>0.52</v>
      </c>
    </row>
    <row r="19" customFormat="false" ht="15" hidden="false" customHeight="false" outlineLevel="0" collapsed="false">
      <c r="A19" s="8" t="s">
        <v>22</v>
      </c>
      <c r="B19" s="9" t="n">
        <v>0.84</v>
      </c>
    </row>
    <row r="20" customFormat="false" ht="15" hidden="false" customHeight="false" outlineLevel="0" collapsed="false">
      <c r="A20" s="8" t="s">
        <v>23</v>
      </c>
      <c r="B20" s="9" t="n">
        <v>0.47</v>
      </c>
    </row>
    <row r="21" customFormat="false" ht="15" hidden="false" customHeight="false" outlineLevel="0" collapsed="false">
      <c r="A21" s="8" t="s">
        <v>24</v>
      </c>
      <c r="B21" s="9" t="n">
        <v>-0.24</v>
      </c>
    </row>
    <row r="22" customFormat="false" ht="15" hidden="false" customHeight="false" outlineLevel="0" collapsed="false">
      <c r="A22" s="8" t="s">
        <v>25</v>
      </c>
      <c r="B22" s="9" t="n">
        <v>-0.43</v>
      </c>
    </row>
    <row r="23" customFormat="false" ht="15" hidden="false" customHeight="false" outlineLevel="0" collapsed="false">
      <c r="A23" s="8" t="s">
        <v>26</v>
      </c>
      <c r="B23" s="9" t="n">
        <v>-0.28</v>
      </c>
    </row>
    <row r="24" customFormat="false" ht="15" hidden="false" customHeight="false" outlineLevel="0" collapsed="false">
      <c r="A24" s="8" t="s">
        <v>27</v>
      </c>
      <c r="B24" s="9" t="n">
        <v>0.14</v>
      </c>
    </row>
    <row r="25" customFormat="false" ht="15" hidden="false" customHeight="false" outlineLevel="0" collapsed="false">
      <c r="A25" s="8" t="s">
        <v>28</v>
      </c>
      <c r="B25" s="9" t="n">
        <v>0.36</v>
      </c>
    </row>
    <row r="26" customFormat="false" ht="15" hidden="false" customHeight="false" outlineLevel="0" collapsed="false">
      <c r="A26" s="8" t="s">
        <v>29</v>
      </c>
      <c r="B26" s="9" t="n">
        <v>0.76</v>
      </c>
    </row>
    <row r="27" customFormat="false" ht="15" hidden="false" customHeight="false" outlineLevel="0" collapsed="false">
      <c r="A27" s="8" t="s">
        <v>30</v>
      </c>
      <c r="B27" s="9" t="n">
        <v>-0.4</v>
      </c>
    </row>
    <row r="28" customFormat="false" ht="15" hidden="false" customHeight="false" outlineLevel="0" collapsed="false">
      <c r="A28" s="8" t="s">
        <v>31</v>
      </c>
      <c r="B28" s="9" t="n">
        <v>-0.65</v>
      </c>
    </row>
    <row r="29" customFormat="false" ht="15" hidden="false" customHeight="false" outlineLevel="0" collapsed="false">
      <c r="A29" s="8" t="s">
        <v>32</v>
      </c>
      <c r="B29" s="9" t="n">
        <v>-0.52</v>
      </c>
    </row>
    <row r="30" customFormat="false" ht="15" hidden="false" customHeight="false" outlineLevel="0" collapsed="false">
      <c r="A30" s="8" t="s">
        <v>33</v>
      </c>
      <c r="B30" s="9" t="n">
        <v>-0.28</v>
      </c>
    </row>
    <row r="31" customFormat="false" ht="15" hidden="false" customHeight="false" outlineLevel="0" collapsed="false">
      <c r="A31" s="8" t="s">
        <v>34</v>
      </c>
      <c r="B31" s="9" t="n">
        <v>-0.43</v>
      </c>
    </row>
    <row r="32" customFormat="false" ht="15" hidden="false" customHeight="false" outlineLevel="0" collapsed="false">
      <c r="A32" s="8" t="s">
        <v>35</v>
      </c>
      <c r="B32" s="9" t="n">
        <v>0.14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8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12" t="s">
        <v>37</v>
      </c>
    </row>
    <row r="4" customFormat="false" ht="29.85" hidden="false" customHeight="false" outlineLevel="0" collapsed="false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</row>
    <row r="5" customFormat="false" ht="15" hidden="false" customHeight="false" outlineLevel="0" collapsed="false">
      <c r="A5" s="8" t="n">
        <v>1</v>
      </c>
      <c r="B5" s="8" t="s">
        <v>46</v>
      </c>
      <c r="C5" s="8" t="s">
        <v>12</v>
      </c>
      <c r="D5" s="13" t="n">
        <f aca="false">'Исходные данные'!$B$9</f>
        <v>-0.25</v>
      </c>
      <c r="E5" s="8" t="s">
        <v>13</v>
      </c>
      <c r="F5" s="13" t="n">
        <f aca="false">'Исходные данные'!$B$10</f>
        <v>0.15</v>
      </c>
      <c r="G5" s="11" t="n">
        <f aca="false">'Исходные данные'!$B$3*ABS(D5)/(ABS(D5)+ABS(F5))</f>
        <v>62.5</v>
      </c>
      <c r="H5" s="11" t="n">
        <f aca="false">'Исходные данные'!$B$3-G5</f>
        <v>37.5</v>
      </c>
    </row>
    <row r="6" customFormat="false" ht="15" hidden="false" customHeight="false" outlineLevel="0" collapsed="false">
      <c r="A6" s="8" t="n">
        <v>2</v>
      </c>
      <c r="B6" s="8" t="s">
        <v>47</v>
      </c>
      <c r="C6" s="8" t="s">
        <v>13</v>
      </c>
      <c r="D6" s="13" t="n">
        <f aca="false">'Исходные данные'!$B$10</f>
        <v>0.15</v>
      </c>
      <c r="E6" s="8" t="s">
        <v>19</v>
      </c>
      <c r="F6" s="13" t="n">
        <f aca="false">'Исходные данные'!$B$16</f>
        <v>-0.31</v>
      </c>
      <c r="G6" s="11" t="n">
        <f aca="false">'Исходные данные'!$B$3*ABS(D6)/(ABS(D6)+ABS(F6))</f>
        <v>32.6086956521739</v>
      </c>
      <c r="H6" s="11" t="n">
        <f aca="false">'Исходные данные'!$B$3-G6</f>
        <v>67.3913043478261</v>
      </c>
    </row>
    <row r="7" customFormat="false" ht="15" hidden="false" customHeight="false" outlineLevel="0" collapsed="false">
      <c r="A7" s="8" t="n">
        <v>3</v>
      </c>
      <c r="B7" s="8" t="s">
        <v>46</v>
      </c>
      <c r="C7" s="8" t="s">
        <v>19</v>
      </c>
      <c r="D7" s="13" t="n">
        <f aca="false">'Исходные данные'!$B$16</f>
        <v>-0.31</v>
      </c>
      <c r="E7" s="8" t="s">
        <v>20</v>
      </c>
      <c r="F7" s="13" t="n">
        <f aca="false">'Исходные данные'!$B$17</f>
        <v>0.28</v>
      </c>
      <c r="G7" s="11" t="n">
        <f aca="false">'Исходные данные'!$B$3*ABS(D7)/(ABS(D7)+ABS(F7))</f>
        <v>52.5423728813559</v>
      </c>
      <c r="H7" s="11" t="n">
        <f aca="false">'Исходные данные'!$B$3-G7</f>
        <v>47.4576271186441</v>
      </c>
    </row>
    <row r="8" customFormat="false" ht="15" hidden="false" customHeight="false" outlineLevel="0" collapsed="false">
      <c r="A8" s="8" t="n">
        <v>4</v>
      </c>
      <c r="B8" s="8" t="s">
        <v>47</v>
      </c>
      <c r="C8" s="8" t="s">
        <v>20</v>
      </c>
      <c r="D8" s="13" t="n">
        <f aca="false">'Исходные данные'!$B$17</f>
        <v>0.28</v>
      </c>
      <c r="E8" s="8" t="s">
        <v>26</v>
      </c>
      <c r="F8" s="13" t="n">
        <f aca="false">'Исходные данные'!$B$23</f>
        <v>-0.28</v>
      </c>
      <c r="G8" s="11" t="n">
        <f aca="false">'Исходные данные'!$B$3*ABS(D8)/(ABS(D8)+ABS(F8))</f>
        <v>50</v>
      </c>
      <c r="H8" s="11" t="n">
        <f aca="false">'Исходные данные'!$B$3-G8</f>
        <v>50</v>
      </c>
    </row>
    <row r="9" customFormat="false" ht="15" hidden="false" customHeight="false" outlineLevel="0" collapsed="false">
      <c r="A9" s="8" t="n">
        <v>5</v>
      </c>
      <c r="B9" s="8" t="s">
        <v>46</v>
      </c>
      <c r="C9" s="8" t="s">
        <v>26</v>
      </c>
      <c r="D9" s="13" t="n">
        <f aca="false">'Исходные данные'!$B$23</f>
        <v>-0.28</v>
      </c>
      <c r="E9" s="8" t="s">
        <v>27</v>
      </c>
      <c r="F9" s="13" t="n">
        <f aca="false">'Исходные данные'!$B$24</f>
        <v>0.14</v>
      </c>
      <c r="G9" s="11" t="n">
        <f aca="false">'Исходные данные'!$B$3*ABS(D9)/(ABS(D9)+ABS(F9))</f>
        <v>66.6666666666667</v>
      </c>
      <c r="H9" s="11" t="n">
        <f aca="false">'Исходные данные'!$B$3-G9</f>
        <v>33.3333333333333</v>
      </c>
    </row>
    <row r="10" customFormat="false" ht="15" hidden="false" customHeight="false" outlineLevel="0" collapsed="false">
      <c r="A10" s="8" t="n">
        <v>6</v>
      </c>
      <c r="B10" s="8" t="s">
        <v>47</v>
      </c>
      <c r="C10" s="8" t="s">
        <v>27</v>
      </c>
      <c r="D10" s="13" t="n">
        <f aca="false">'Исходные данные'!$B$24</f>
        <v>0.14</v>
      </c>
      <c r="E10" s="8" t="s">
        <v>33</v>
      </c>
      <c r="F10" s="13" t="n">
        <f aca="false">'Исходные данные'!$B$30</f>
        <v>-0.28</v>
      </c>
      <c r="G10" s="11" t="n">
        <f aca="false">'Исходные данные'!$B$3*ABS(D10)/(ABS(D10)+ABS(F10))</f>
        <v>33.3333333333333</v>
      </c>
      <c r="H10" s="11" t="n">
        <f aca="false">'Исходные данные'!$B$3-G10</f>
        <v>66.6666666666667</v>
      </c>
    </row>
    <row r="11" customFormat="false" ht="15" hidden="false" customHeight="false" outlineLevel="0" collapsed="false">
      <c r="A11" s="8" t="n">
        <v>7</v>
      </c>
      <c r="B11" s="8" t="s">
        <v>47</v>
      </c>
      <c r="C11" s="8" t="s">
        <v>28</v>
      </c>
      <c r="D11" s="13" t="n">
        <f aca="false">'Исходные данные'!$B$25</f>
        <v>0.36</v>
      </c>
      <c r="E11" s="8" t="s">
        <v>34</v>
      </c>
      <c r="F11" s="13" t="n">
        <f aca="false">'Исходные данные'!$B$31</f>
        <v>-0.43</v>
      </c>
      <c r="G11" s="11" t="n">
        <f aca="false">'Исходные данные'!$B$3*ABS(D11)/(ABS(D11)+ABS(F11))</f>
        <v>45.5696202531646</v>
      </c>
      <c r="H11" s="11" t="n">
        <f aca="false">'Исходные данные'!$B$3-G11</f>
        <v>54.4303797468354</v>
      </c>
    </row>
    <row r="12" customFormat="false" ht="15" hidden="false" customHeight="false" outlineLevel="0" collapsed="false">
      <c r="A12" s="8" t="n">
        <v>8</v>
      </c>
      <c r="B12" s="8" t="s">
        <v>46</v>
      </c>
      <c r="C12" s="8" t="s">
        <v>34</v>
      </c>
      <c r="D12" s="13" t="n">
        <f aca="false">'Исходные данные'!$B$31</f>
        <v>-0.43</v>
      </c>
      <c r="E12" s="8" t="s">
        <v>35</v>
      </c>
      <c r="F12" s="13" t="n">
        <f aca="false">'Исходные данные'!$B$32</f>
        <v>0.14</v>
      </c>
      <c r="G12" s="11" t="n">
        <f aca="false">'Исходные данные'!$B$3*ABS(D12)/(ABS(D12)+ABS(F12))</f>
        <v>75.4385964912281</v>
      </c>
      <c r="H12" s="11" t="n">
        <f aca="false">'Исходные данные'!$B$3-G12</f>
        <v>24.5614035087719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12" t="s">
        <v>49</v>
      </c>
    </row>
    <row r="4" customFormat="false" ht="15" hidden="false" customHeight="true" outlineLevel="0" collapsed="false">
      <c r="A4" s="6" t="s">
        <v>50</v>
      </c>
      <c r="B4" s="6"/>
      <c r="C4" s="6"/>
      <c r="D4" s="6"/>
      <c r="E4" s="6" t="s">
        <v>51</v>
      </c>
      <c r="F4" s="6"/>
      <c r="G4" s="6"/>
      <c r="H4" s="6"/>
      <c r="I4" s="6"/>
    </row>
    <row r="5" customFormat="false" ht="31.5" hidden="false" customHeight="true" outlineLevel="0" collapsed="false">
      <c r="A5" s="6" t="s">
        <v>52</v>
      </c>
      <c r="B5" s="6" t="s">
        <v>53</v>
      </c>
      <c r="C5" s="6" t="s">
        <v>54</v>
      </c>
      <c r="D5" s="6" t="s">
        <v>55</v>
      </c>
      <c r="E5" s="6" t="s">
        <v>52</v>
      </c>
      <c r="F5" s="6" t="s">
        <v>53</v>
      </c>
      <c r="G5" s="6" t="s">
        <v>54</v>
      </c>
      <c r="H5" s="6" t="s">
        <v>55</v>
      </c>
      <c r="I5" s="6" t="s">
        <v>56</v>
      </c>
    </row>
    <row r="6" customFormat="false" ht="15" hidden="false" customHeight="false" outlineLevel="0" collapsed="false">
      <c r="A6" s="14" t="s">
        <v>57</v>
      </c>
      <c r="B6" s="11" t="n">
        <f aca="false">'Исходные данные'!$B$3^2-$F$6</f>
        <v>9388.58695652174</v>
      </c>
      <c r="C6" s="15" t="n">
        <f aca="false">(0+ABS('Исходные данные'!$B$9)+ABS('Исходные данные'!$B$15)+ABS('Исходные данные'!$B$16)+0)/5</f>
        <v>0.21</v>
      </c>
      <c r="D6" s="11" t="n">
        <f aca="false">B6*C6</f>
        <v>1971.60326086957</v>
      </c>
      <c r="E6" s="14" t="s">
        <v>58</v>
      </c>
      <c r="F6" s="11" t="n">
        <f aca="false">ЛНР!$G$6*ЛНР!$H$5/2</f>
        <v>611.413043478261</v>
      </c>
      <c r="G6" s="15" t="n">
        <f aca="false">(0+ABS('Исходные данные'!$B$10)+0)/3</f>
        <v>0.05</v>
      </c>
      <c r="H6" s="11" t="n">
        <f aca="false">F6*G6</f>
        <v>30.570652173913</v>
      </c>
      <c r="I6" s="11" t="n">
        <f aca="false">H6/'Исходные данные'!$B$4</f>
        <v>29.3948578595318</v>
      </c>
    </row>
    <row r="7" customFormat="false" ht="15" hidden="false" customHeight="false" outlineLevel="0" collapsed="false">
      <c r="A7" s="14" t="s">
        <v>59</v>
      </c>
      <c r="B7" s="11" t="n">
        <f aca="false">ЛНР!$H$6*ЛНР!$G$7/2</f>
        <v>1770.44952100221</v>
      </c>
      <c r="C7" s="15" t="n">
        <f aca="false">(0+ABS('Исходные данные'!$B$16)+0)/3</f>
        <v>0.103333333333333</v>
      </c>
      <c r="D7" s="11" t="n">
        <f aca="false">B7*C7</f>
        <v>182.946450503562</v>
      </c>
      <c r="E7" s="14" t="s">
        <v>60</v>
      </c>
      <c r="F7" s="11" t="n">
        <f aca="false">'Исходные данные'!$B$3^2-$B$7</f>
        <v>8229.55047899779</v>
      </c>
      <c r="G7" s="15" t="n">
        <f aca="false">(0+ABS('Исходные данные'!$B$17)+ABS('Исходные данные'!$B$11)+ABS('Исходные данные'!$B$10)+0)/5</f>
        <v>0.154</v>
      </c>
      <c r="H7" s="11" t="n">
        <f aca="false">F7*G7</f>
        <v>1267.35077376566</v>
      </c>
      <c r="I7" s="11" t="n">
        <f aca="false">H7/'Исходные данные'!$B$4</f>
        <v>1218.60651323621</v>
      </c>
    </row>
    <row r="8" customFormat="false" ht="15" hidden="false" customHeight="false" outlineLevel="0" collapsed="false">
      <c r="A8" s="8" t="s">
        <v>61</v>
      </c>
      <c r="B8" s="8" t="s">
        <v>61</v>
      </c>
      <c r="C8" s="8" t="s">
        <v>61</v>
      </c>
      <c r="D8" s="8" t="s">
        <v>61</v>
      </c>
      <c r="E8" s="14" t="s">
        <v>62</v>
      </c>
      <c r="F8" s="11" t="n">
        <f aca="false">'Исходные данные'!$B$3^2</f>
        <v>10000</v>
      </c>
      <c r="G8" s="15" t="n">
        <f aca="false">(ABS('Исходные данные'!$B$17)+ABS('Исходные данные'!$B$18)+ABS('Исходные данные'!$B$12)+ABS('Исходные данные'!$B$11))/4</f>
        <v>0.4025</v>
      </c>
      <c r="H8" s="11" t="n">
        <f aca="false">F8*G8</f>
        <v>4025</v>
      </c>
      <c r="I8" s="11" t="n">
        <f aca="false">H8/'Исходные данные'!$B$4</f>
        <v>3870.19230769231</v>
      </c>
    </row>
    <row r="9" customFormat="false" ht="15" hidden="false" customHeight="false" outlineLevel="0" collapsed="false">
      <c r="A9" s="8" t="s">
        <v>61</v>
      </c>
      <c r="B9" s="8" t="s">
        <v>61</v>
      </c>
      <c r="C9" s="8" t="s">
        <v>61</v>
      </c>
      <c r="D9" s="8" t="s">
        <v>61</v>
      </c>
      <c r="E9" s="14" t="s">
        <v>63</v>
      </c>
      <c r="F9" s="11" t="n">
        <f aca="false">'Исходные данные'!$B$3^2</f>
        <v>10000</v>
      </c>
      <c r="G9" s="15" t="n">
        <f aca="false">(ABS('Исходные данные'!$B$18)+ABS('Исходные данные'!$B$19)+ABS('Исходные данные'!$B$13)+ABS('Исходные данные'!$B$12))/4</f>
        <v>0.6225</v>
      </c>
      <c r="H9" s="11" t="n">
        <f aca="false">F9*G9</f>
        <v>6225</v>
      </c>
      <c r="I9" s="11" t="n">
        <f aca="false">H9/'Исходные данные'!$B$4</f>
        <v>5985.57692307692</v>
      </c>
    </row>
    <row r="10" customFormat="false" ht="15" hidden="false" customHeight="false" outlineLevel="0" collapsed="false">
      <c r="A10" s="8" t="s">
        <v>61</v>
      </c>
      <c r="B10" s="8" t="s">
        <v>61</v>
      </c>
      <c r="C10" s="8" t="s">
        <v>61</v>
      </c>
      <c r="D10" s="8" t="s">
        <v>61</v>
      </c>
      <c r="E10" s="14" t="s">
        <v>64</v>
      </c>
      <c r="F10" s="11" t="n">
        <f aca="false">'Исходные данные'!$B$3^2</f>
        <v>10000</v>
      </c>
      <c r="G10" s="15" t="n">
        <f aca="false">(ABS('Исходные данные'!$B$19)+ABS('Исходные данные'!$B$20)+ABS('Исходные данные'!$B$14)+ABS('Исходные данные'!$B$13))/4</f>
        <v>0.705</v>
      </c>
      <c r="H10" s="11" t="n">
        <f aca="false">F10*G10</f>
        <v>7050</v>
      </c>
      <c r="I10" s="11" t="n">
        <f aca="false">H10/'Исходные данные'!$B$4</f>
        <v>6778.84615384615</v>
      </c>
    </row>
    <row r="11" customFormat="false" ht="15" hidden="false" customHeight="false" outlineLevel="0" collapsed="false">
      <c r="A11" s="14" t="s">
        <v>65</v>
      </c>
      <c r="B11" s="11" t="n">
        <f aca="false">'Исходные данные'!$B$3^2</f>
        <v>10000</v>
      </c>
      <c r="C11" s="15" t="n">
        <f aca="false">(ABS('Исходные данные'!$B$21)+ABS('Исходные данные'!$B$22)+ABS('Исходные данные'!$B$16)+ABS('Исходные данные'!$B$15))/4</f>
        <v>0.3675</v>
      </c>
      <c r="D11" s="11" t="n">
        <f aca="false">B11*C11</f>
        <v>3675</v>
      </c>
      <c r="E11" s="8" t="s">
        <v>61</v>
      </c>
      <c r="F11" s="8" t="s">
        <v>61</v>
      </c>
      <c r="G11" s="8" t="s">
        <v>61</v>
      </c>
      <c r="H11" s="8" t="s">
        <v>61</v>
      </c>
      <c r="I11" s="8" t="s">
        <v>61</v>
      </c>
    </row>
    <row r="12" customFormat="false" ht="15" hidden="false" customHeight="false" outlineLevel="0" collapsed="false">
      <c r="A12" s="14" t="s">
        <v>66</v>
      </c>
      <c r="B12" s="11" t="n">
        <f aca="false">'Исходные данные'!$B$3^2-$F$12</f>
        <v>8813.5593220339</v>
      </c>
      <c r="C12" s="15" t="n">
        <f aca="false">(0+ABS('Исходные данные'!$B$16)+ABS('Исходные данные'!$B$22)+ABS('Исходные данные'!$B$23)+0)/5</f>
        <v>0.204</v>
      </c>
      <c r="D12" s="11" t="n">
        <f aca="false">B12*C12</f>
        <v>1797.96610169492</v>
      </c>
      <c r="E12" s="14" t="s">
        <v>67</v>
      </c>
      <c r="F12" s="11" t="n">
        <f aca="false">ЛНР!$G$8*ЛНР!$H$7/2</f>
        <v>1186.4406779661</v>
      </c>
      <c r="G12" s="15" t="n">
        <f aca="false">(0+ABS('Исходные данные'!$B$17)+0)/3</f>
        <v>0.0933333333333333</v>
      </c>
      <c r="H12" s="11" t="n">
        <f aca="false">F12*G12</f>
        <v>110.734463276836</v>
      </c>
      <c r="I12" s="11" t="n">
        <f aca="false">H12/'Исходные данные'!$B$4</f>
        <v>106.475445458496</v>
      </c>
    </row>
    <row r="13" customFormat="false" ht="15" hidden="false" customHeight="false" outlineLevel="0" collapsed="false">
      <c r="A13" s="14" t="s">
        <v>68</v>
      </c>
      <c r="B13" s="11" t="n">
        <f aca="false">ЛНР!$H$8*ЛНР!$G$9/2</f>
        <v>1666.66666666667</v>
      </c>
      <c r="C13" s="15" t="n">
        <f aca="false">(0+ABS('Исходные данные'!$B$23)+0)/3</f>
        <v>0.0933333333333333</v>
      </c>
      <c r="D13" s="11" t="n">
        <f aca="false">B13*C13</f>
        <v>155.555555555556</v>
      </c>
      <c r="E13" s="14" t="s">
        <v>69</v>
      </c>
      <c r="F13" s="11" t="n">
        <f aca="false">'Исходные данные'!$B$3^2-$B$13</f>
        <v>8333.33333333333</v>
      </c>
      <c r="G13" s="15" t="n">
        <f aca="false">(0+ABS('Исходные данные'!$B$24)+ABS('Исходные данные'!$B$18)+ABS('Исходные данные'!$B$17)+0)/5</f>
        <v>0.188</v>
      </c>
      <c r="H13" s="11" t="n">
        <f aca="false">F13*G13</f>
        <v>1566.66666666667</v>
      </c>
      <c r="I13" s="11" t="n">
        <f aca="false">H13/'Исходные данные'!$B$4</f>
        <v>1506.41025641026</v>
      </c>
    </row>
    <row r="14" customFormat="false" ht="15" hidden="false" customHeight="false" outlineLevel="0" collapsed="false">
      <c r="A14" s="8" t="s">
        <v>61</v>
      </c>
      <c r="B14" s="8" t="s">
        <v>61</v>
      </c>
      <c r="C14" s="8" t="s">
        <v>61</v>
      </c>
      <c r="D14" s="8" t="s">
        <v>61</v>
      </c>
      <c r="E14" s="14" t="s">
        <v>70</v>
      </c>
      <c r="F14" s="11" t="n">
        <f aca="false">'Исходные данные'!$B$3^2</f>
        <v>10000</v>
      </c>
      <c r="G14" s="15" t="n">
        <f aca="false">(ABS('Исходные данные'!$B$24)+ABS('Исходные данные'!$B$25)+ABS('Исходные данные'!$B$19)+ABS('Исходные данные'!$B$18))/4</f>
        <v>0.465</v>
      </c>
      <c r="H14" s="11" t="n">
        <f aca="false">F14*G14</f>
        <v>4650</v>
      </c>
      <c r="I14" s="11" t="n">
        <f aca="false">H14/'Исходные данные'!$B$4</f>
        <v>4471.15384615385</v>
      </c>
    </row>
    <row r="15" customFormat="false" ht="15" hidden="false" customHeight="false" outlineLevel="0" collapsed="false">
      <c r="A15" s="8" t="s">
        <v>61</v>
      </c>
      <c r="B15" s="8" t="s">
        <v>61</v>
      </c>
      <c r="C15" s="8" t="s">
        <v>61</v>
      </c>
      <c r="D15" s="8" t="s">
        <v>61</v>
      </c>
      <c r="E15" s="14" t="s">
        <v>71</v>
      </c>
      <c r="F15" s="11" t="n">
        <f aca="false">'Исходные данные'!$B$3^2</f>
        <v>10000</v>
      </c>
      <c r="G15" s="15" t="n">
        <f aca="false">(ABS('Исходные данные'!$B$25)+ABS('Исходные данные'!$B$26)+ABS('Исходные данные'!$B$20)+ABS('Исходные данные'!$B$19))/4</f>
        <v>0.6075</v>
      </c>
      <c r="H15" s="11" t="n">
        <f aca="false">F15*G15</f>
        <v>6075</v>
      </c>
      <c r="I15" s="11" t="n">
        <f aca="false">H15/'Исходные данные'!$B$4</f>
        <v>5841.34615384615</v>
      </c>
    </row>
    <row r="16" customFormat="false" ht="15" hidden="false" customHeight="false" outlineLevel="0" collapsed="false">
      <c r="A16" s="14" t="s">
        <v>72</v>
      </c>
      <c r="B16" s="11" t="n">
        <f aca="false">'Исходные данные'!$B$3^2</f>
        <v>10000</v>
      </c>
      <c r="C16" s="15" t="n">
        <f aca="false">(ABS('Исходные данные'!$B$27)+ABS('Исходные данные'!$B$28)+ABS('Исходные данные'!$B$22)+ABS('Исходные данные'!$B$21))/4</f>
        <v>0.43</v>
      </c>
      <c r="D16" s="11" t="n">
        <f aca="false">B16*C16</f>
        <v>4300</v>
      </c>
      <c r="E16" s="8" t="s">
        <v>61</v>
      </c>
      <c r="F16" s="8" t="s">
        <v>61</v>
      </c>
      <c r="G16" s="8" t="s">
        <v>61</v>
      </c>
      <c r="H16" s="8" t="s">
        <v>61</v>
      </c>
      <c r="I16" s="8" t="s">
        <v>61</v>
      </c>
    </row>
    <row r="17" customFormat="false" ht="15" hidden="false" customHeight="false" outlineLevel="0" collapsed="false">
      <c r="A17" s="14" t="s">
        <v>73</v>
      </c>
      <c r="B17" s="11" t="n">
        <f aca="false">'Исходные данные'!$B$3^2</f>
        <v>10000</v>
      </c>
      <c r="C17" s="15" t="n">
        <f aca="false">(ABS('Исходные данные'!$B$28)+ABS('Исходные данные'!$B$29)+ABS('Исходные данные'!$B$23)+ABS('Исходные данные'!$B$22))/4</f>
        <v>0.47</v>
      </c>
      <c r="D17" s="11" t="n">
        <f aca="false">B17*C17</f>
        <v>4700</v>
      </c>
      <c r="E17" s="8" t="s">
        <v>61</v>
      </c>
      <c r="F17" s="8" t="s">
        <v>61</v>
      </c>
      <c r="G17" s="8" t="s">
        <v>61</v>
      </c>
      <c r="H17" s="8" t="s">
        <v>61</v>
      </c>
      <c r="I17" s="8" t="s">
        <v>61</v>
      </c>
    </row>
    <row r="18" customFormat="false" ht="15" hidden="false" customHeight="false" outlineLevel="0" collapsed="false">
      <c r="A18" s="14" t="s">
        <v>74</v>
      </c>
      <c r="B18" s="11" t="n">
        <f aca="false">'Исходные данные'!$B$3^2-$F$18</f>
        <v>9444.44444444445</v>
      </c>
      <c r="C18" s="15" t="n">
        <f aca="false">(0+ABS('Исходные данные'!$B$23)+ABS('Исходные данные'!$B$29)+ABS('Исходные данные'!$B$30)+0)/5</f>
        <v>0.216</v>
      </c>
      <c r="D18" s="11" t="n">
        <f aca="false">B18*C18</f>
        <v>2040</v>
      </c>
      <c r="E18" s="14" t="s">
        <v>75</v>
      </c>
      <c r="F18" s="11" t="n">
        <f aca="false">ЛНР!$G$10*ЛНР!$H$9/2</f>
        <v>555.555555555556</v>
      </c>
      <c r="G18" s="15" t="n">
        <f aca="false">(0+ABS('Исходные данные'!$B$24)+0)/3</f>
        <v>0.0466666666666667</v>
      </c>
      <c r="H18" s="11" t="n">
        <f aca="false">F18*G18</f>
        <v>25.9259259259259</v>
      </c>
      <c r="I18" s="11" t="n">
        <f aca="false">H18/'Исходные данные'!$B$4</f>
        <v>24.9287749287749</v>
      </c>
    </row>
    <row r="19" customFormat="false" ht="15" hidden="false" customHeight="false" outlineLevel="0" collapsed="false">
      <c r="A19" s="14" t="s">
        <v>76</v>
      </c>
      <c r="B19" s="11" t="n">
        <f aca="false">(ЛНР!$H$10+ЛНР!$H$11)/2*'Исходные данные'!$B$3</f>
        <v>6054.85232067511</v>
      </c>
      <c r="C19" s="15" t="n">
        <f aca="false">(0+ABS('Исходные данные'!$B$30)+ABS('Исходные данные'!$B$31)+0)/4</f>
        <v>0.1775</v>
      </c>
      <c r="D19" s="11" t="n">
        <f aca="false">B19*C19</f>
        <v>1074.73628691983</v>
      </c>
      <c r="E19" s="14" t="s">
        <v>77</v>
      </c>
      <c r="F19" s="11" t="n">
        <f aca="false">(ЛНР!$G$11+ЛНР!$G$10)/2*'Исходные данные'!$B$3</f>
        <v>3945.14767932489</v>
      </c>
      <c r="G19" s="15" t="n">
        <f aca="false">(0+ABS('Исходные данные'!$B$25)+ABS('Исходные данные'!$B$24)+0)/4</f>
        <v>0.125</v>
      </c>
      <c r="H19" s="11" t="n">
        <f aca="false">F19*G19</f>
        <v>493.143459915612</v>
      </c>
      <c r="I19" s="11" t="n">
        <f aca="false">H19/'Исходные данные'!$B$4</f>
        <v>474.176403765011</v>
      </c>
    </row>
    <row r="20" customFormat="false" ht="15" hidden="false" customHeight="false" outlineLevel="0" collapsed="false">
      <c r="A20" s="14" t="s">
        <v>78</v>
      </c>
      <c r="B20" s="11" t="n">
        <f aca="false">ЛНР!$H$11*ЛНР!$G$12/2</f>
        <v>2053.07572729292</v>
      </c>
      <c r="C20" s="15" t="n">
        <f aca="false">(0+ABS('Исходные данные'!$B$31)+0)/3</f>
        <v>0.143333333333333</v>
      </c>
      <c r="D20" s="11" t="n">
        <f aca="false">B20*C20</f>
        <v>294.274187578651</v>
      </c>
      <c r="E20" s="14" t="s">
        <v>79</v>
      </c>
      <c r="F20" s="11" t="n">
        <f aca="false">'Исходные данные'!$B$3^2-$B$20</f>
        <v>7946.92427270708</v>
      </c>
      <c r="G20" s="15" t="n">
        <f aca="false">(0+ABS('Исходные данные'!$B$32)+ABS('Исходные данные'!$B$26)+ABS('Исходные данные'!$B$25)+0)/5</f>
        <v>0.252</v>
      </c>
      <c r="H20" s="11" t="n">
        <f aca="false">F20*G20</f>
        <v>2002.62491672219</v>
      </c>
      <c r="I20" s="11" t="n">
        <f aca="false">H20/'Исходные данные'!$B$4</f>
        <v>1925.60088146364</v>
      </c>
    </row>
    <row r="21" customFormat="false" ht="15" hidden="false" customHeight="false" outlineLevel="0" collapsed="false">
      <c r="A21" s="14" t="s">
        <v>80</v>
      </c>
      <c r="B21" s="16" t="n">
        <f aca="false">SUM(B6:B20)</f>
        <v>69191.634958637</v>
      </c>
      <c r="C21" s="8"/>
      <c r="D21" s="16" t="n">
        <f aca="false">SUM(D6:D20)</f>
        <v>20192.0818431221</v>
      </c>
      <c r="E21" s="14" t="s">
        <v>80</v>
      </c>
      <c r="F21" s="16" t="n">
        <f aca="false">SUM(F6:F20)</f>
        <v>80808.365041363</v>
      </c>
      <c r="G21" s="8"/>
      <c r="H21" s="16" t="n">
        <f aca="false">SUM(H6:H20)</f>
        <v>33522.0168584468</v>
      </c>
      <c r="I21" s="16" t="n">
        <f aca="false">SUM(I6:I20)</f>
        <v>32232.7085177373</v>
      </c>
    </row>
    <row r="23" customFormat="false" ht="15" hidden="false" customHeight="false" outlineLevel="0" collapsed="false">
      <c r="A23" s="7" t="s">
        <v>81</v>
      </c>
    </row>
    <row r="24" customFormat="false" ht="15" hidden="false" customHeight="true" outlineLevel="0" collapsed="false">
      <c r="A24" s="2" t="s">
        <v>82</v>
      </c>
      <c r="B24" s="2"/>
      <c r="C24" s="2"/>
      <c r="D24" s="2"/>
      <c r="E24" s="2"/>
      <c r="F24" s="16" t="n">
        <f aca="false">B21+F21</f>
        <v>150000</v>
      </c>
    </row>
    <row r="25" customFormat="false" ht="15" hidden="false" customHeight="true" outlineLevel="0" collapsed="false">
      <c r="A25" s="2" t="s">
        <v>83</v>
      </c>
      <c r="B25" s="2"/>
      <c r="C25" s="2"/>
      <c r="D25" s="2"/>
      <c r="E25" s="2"/>
      <c r="F25" s="16" t="n">
        <f aca="false">'Исходные данные'!$B$6*'Исходные данные'!$B$3^2</f>
        <v>150000</v>
      </c>
    </row>
    <row r="26" customFormat="false" ht="15" hidden="false" customHeight="true" outlineLevel="0" collapsed="false">
      <c r="A26" s="2" t="s">
        <v>84</v>
      </c>
      <c r="B26" s="2"/>
      <c r="C26" s="2"/>
      <c r="D26" s="2"/>
      <c r="E26" s="2"/>
      <c r="F26" s="16" t="n">
        <f aca="false">D21</f>
        <v>20192.0818431221</v>
      </c>
    </row>
    <row r="27" customFormat="false" ht="15" hidden="false" customHeight="true" outlineLevel="0" collapsed="false">
      <c r="A27" s="2" t="s">
        <v>85</v>
      </c>
      <c r="B27" s="2"/>
      <c r="C27" s="2"/>
      <c r="D27" s="2"/>
      <c r="E27" s="2"/>
      <c r="F27" s="16" t="n">
        <f aca="false">H21</f>
        <v>33522.0168584468</v>
      </c>
    </row>
    <row r="28" customFormat="false" ht="29.85" hidden="false" customHeight="true" outlineLevel="0" collapsed="false">
      <c r="A28" s="2" t="s">
        <v>86</v>
      </c>
      <c r="B28" s="2"/>
      <c r="C28" s="2"/>
      <c r="D28" s="2"/>
      <c r="E28" s="2"/>
      <c r="F28" s="16" t="n">
        <f aca="false">I21</f>
        <v>32232.7085177373</v>
      </c>
    </row>
    <row r="29" customFormat="false" ht="15" hidden="false" customHeight="true" outlineLevel="0" collapsed="false">
      <c r="A29" s="2" t="s">
        <v>87</v>
      </c>
      <c r="B29" s="2"/>
      <c r="C29" s="2"/>
      <c r="D29" s="2"/>
      <c r="E29" s="2"/>
      <c r="F29" s="16" t="n">
        <f aca="false">F28-F26</f>
        <v>12040.6266746152</v>
      </c>
    </row>
    <row r="30" customFormat="false" ht="15" hidden="false" customHeight="true" outlineLevel="0" collapsed="false">
      <c r="A30" s="2" t="s">
        <v>88</v>
      </c>
      <c r="B30" s="2"/>
      <c r="C30" s="2"/>
      <c r="D30" s="2"/>
      <c r="E30" s="2"/>
      <c r="F30" s="17" t="n">
        <f aca="false">F29/F26</f>
        <v>0.596304371592895</v>
      </c>
    </row>
    <row r="32" customFormat="false" ht="31.5" hidden="false" customHeight="true" outlineLevel="0" collapsed="false">
      <c r="A32" s="18" t="s">
        <v>89</v>
      </c>
      <c r="B32" s="18"/>
      <c r="C32" s="18"/>
      <c r="D32" s="18"/>
      <c r="E32" s="18"/>
      <c r="F32" s="18"/>
      <c r="G32" s="18"/>
      <c r="H32" s="18"/>
      <c r="I32" s="18"/>
    </row>
  </sheetData>
  <mergeCells count="10">
    <mergeCell ref="A4:D4"/>
    <mergeCell ref="E4:I4"/>
    <mergeCell ref="A24:E24"/>
    <mergeCell ref="A25:E25"/>
    <mergeCell ref="A26:E26"/>
    <mergeCell ref="A27:E27"/>
    <mergeCell ref="A28:E28"/>
    <mergeCell ref="A29:E29"/>
    <mergeCell ref="A30:E30"/>
    <mergeCell ref="A32:I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2026-09-25T20:57:50Z</dcterms:created>
  <dc:creator>openpyxl</dc:creator>
  <dc:description/>
  <dc:language>en-US</dc:language>
  <cp:lastModifiedBy/>
  <dcterms:modified xsi:type="dcterms:W3CDTF">2026-09-25T20:57:50Z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