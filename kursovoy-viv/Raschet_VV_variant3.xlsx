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правка" sheetId="1" state="visible" r:id="rId3"/>
    <sheet name="Исходные" sheetId="2" state="visible" r:id="rId4"/>
    <sheet name="Расходы" sheetId="3" state="visible" r:id="rId5"/>
    <sheet name="В1" sheetId="4" state="visible" r:id="rId6"/>
    <sheet name="Напор" sheetId="5" state="visible" r:id="rId7"/>
    <sheet name="К1" sheetId="6" state="visible" r:id="rId8"/>
    <sheet name="ТаблА2" sheetId="7" state="visible" r:id="rId9"/>
    <sheet name="ТаблБ1" sheetId="8" state="visible" r:id="rId10"/>
    <sheet name="ТаблБ2" sheetId="9" state="visible" r:id="rId11"/>
    <sheet name="Табл5_1" sheetId="10" state="visible" r:id="rId12"/>
    <sheet name="Табл12_1" sheetId="11" state="visible" r:id="rId13"/>
    <sheet name="Трубы" sheetId="12" state="visible" r:id="rId14"/>
    <sheet name="Павловский" sheetId="13" state="visible" r:id="rId15"/>
  </sheets>
  <definedNames>
    <definedName function="false" hidden="false" name="A2_NAME" vbProcedure="false">ТаблА2!$A$3:$A$8</definedName>
    <definedName function="false" hidden="false" name="A2_TAB" vbProcedure="false">ТаблА2!$A$3:$J$8</definedName>
    <definedName function="false" hidden="false" name="B1_G" vbProcedure="false">ТаблБ1!$B$4:$K$55</definedName>
    <definedName function="false" hidden="false" name="B1_N" vbProcedure="false">ТаблБ1!$A$4:$A$55</definedName>
    <definedName function="false" hidden="false" name="B1_P" vbProcedure="false">ТаблБ1!$B$3:$K$3</definedName>
    <definedName function="false" hidden="false" name="B2_A" vbProcedure="false">ТаблБ2!$B$3:$B$583</definedName>
    <definedName function="false" hidden="false" name="B2_NP" vbProcedure="false">ТаблБ2!$A$3:$A$583</definedName>
    <definedName function="false" hidden="false" name="PE_DN" vbProcedure="false">Трубы!$E$3:$E$7</definedName>
    <definedName function="false" hidden="false" name="PE_DV" vbProcedure="false">Трубы!$F$3:$F$7</definedName>
    <definedName function="false" hidden="false" name="T121_DN" vbProcedure="false">Табл12_1!$A$3:$A$14</definedName>
    <definedName function="false" hidden="false" name="T121_OK" vbProcedure="false">Табл12_1!$E$3:$E$14</definedName>
    <definedName function="false" hidden="false" name="T121_S" vbProcedure="false">Табл12_1!$C$3:$C$14</definedName>
    <definedName function="false" hidden="false" name="T51_G" vbProcedure="false">Табл5_1!$B$4:$N$16</definedName>
    <definedName function="false" hidden="false" name="T51_L" vbProcedure="false">Табл5_1!$B$3:$N$3</definedName>
    <definedName function="false" hidden="false" name="T51_N" vbProcedure="false">Табл5_1!$A$4:$A$16</definedName>
    <definedName function="false" hidden="false" name="VGP_DN" vbProcedure="false">Трубы!$A$3:$A$11</definedName>
    <definedName function="false" hidden="false" name="VGP_DR" vbProcedure="false">Трубы!$C$3:$C$11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<sst xmlns="http://schemas.openxmlformats.org/spreadsheetml/2006/main" count="264" uniqueCount="228">
  <si>
    <t xml:space="preserve">Расчёт систем внутреннего водопровода В1 и канализации К1 жилого здания — курсовой проект, вариант 3 (НИУ МГСУ, кафедра «Водоснабжение и водоотведение»)</t>
  </si>
  <si>
    <t xml:space="preserve">Как пользоваться:</t>
  </si>
  <si>
    <t xml:space="preserve">1. Жёлтые ячейки с синим шрифтом — исходные данные; их можно менять. Всё остальное считается формулами.</t>
  </si>
  <si>
    <t xml:space="preserve">2. Лист «Исходные»: этажность, секции, заселённость, типы квартир и приборы, тип водопотребителей (выпадающий список по табл. А.2).</t>
  </si>
  <si>
    <t xml:space="preserve">3. Лист «Расходы»: суточные, среднечасовые, секундные и часовые расходы общей, горячей и холодной воды (как на занятиях).</t>
  </si>
  <si>
    <t xml:space="preserve">4. Лист «В1»: гидравлический расчёт по диктующему направлению — длины, числа приборов и диаметры вводятся, α, q, v, 1000i, потери считаются.</t>
  </si>
  <si>
    <t xml:space="preserve">5. Лист «Напор»: подбор счётчиков, требуемый напор, напор и подача насосной установки, проверка гидростатического напора по этажам.</t>
  </si>
  <si>
    <t xml:space="preserve">6. Лист «К1»: стояки, горизонтальные участки (K_s, q^sL, h/d, V, условие незасоряемости), отметки лотков и глубина колодцев.</t>
  </si>
  <si>
    <t xml:space="preserve">7. Листы «ТаблА2», «ТаблБ1», «ТаблБ2», «Табл5_1», «Табл12_1», «Трубы», «Павловский» — справочные таблицы СП и вспомогательные расчёты.</t>
  </si>
  <si>
    <t xml:space="preserve">Нормативная база: СП 30.13330.2020 «Внутренний водопровод и канализация зданий» (с изменениями № 1–5); СП 32.13330.2018 «Канализация. Наружные сети и сооружения» (с изменениями);</t>
  </si>
  <si>
    <t xml:space="preserve">Ф.А. Шевелёв, А.Ф. Шевелёв «Таблицы для гидравлического расчёта водопроводных труб»; А.А. Лукиных, Н.А. Лукиных «Таблицы для гидравлического расчёта канализационных сетей и дюкеров».</t>
  </si>
  <si>
    <t xml:space="preserve">α определяется по табл. Б.2 (при P &gt; 0,1 и N ≤ 200 — по табл. Б.1) с линейной интерполяцией между строками: y = y1 + (x − x1)·(y2 − y1)/(x2 − x1).</t>
  </si>
  <si>
    <t xml:space="preserve">Расчёт канализации по формуле Павловского сверен с таблицами Лукиных (d = 100, 150, 250 мм, 25 точек, расхождение ≤ 0,7 %);</t>
  </si>
  <si>
    <t xml:space="preserve">потери в стальных трубах — с табл. 1 Шевелёва (DN15–65, 32 точки, 1000i ≤ 0,3 %).</t>
  </si>
  <si>
    <t xml:space="preserve">Условные обозначения: синий — исходные данные; чёрный — формулы; зелёный — ссылки на другие листы; светло-зелёная заливка — основные результаты.</t>
  </si>
  <si>
    <t xml:space="preserve">Исходные данные (вариант 3). Жёлтые ячейки — вводимые данные, остальное считается формулами</t>
  </si>
  <si>
    <t xml:space="preserve">Этажность n_эт</t>
  </si>
  <si>
    <t xml:space="preserve">Число секций n_сек</t>
  </si>
  <si>
    <t xml:space="preserve">Заселённость N_кв.жит, чел./кв.</t>
  </si>
  <si>
    <t xml:space="preserve">Высота этажа, м</t>
  </si>
  <si>
    <t xml:space="preserve">Расчётное время T, ч</t>
  </si>
  <si>
    <t xml:space="preserve">Гарантийный напор H_гар, м</t>
  </si>
  <si>
    <t xml:space="preserve">Глубина промерзания, м</t>
  </si>
  <si>
    <t xml:space="preserve">Водопотребители (табл. А.2)</t>
  </si>
  <si>
    <t xml:space="preserve">ванны от 1500 мм с душами</t>
  </si>
  <si>
    <t xml:space="preserve">Квартиры на этаже одной секции</t>
  </si>
  <si>
    <t xml:space="preserve">Тип квартиры</t>
  </si>
  <si>
    <t xml:space="preserve">Квартир на этаже секции</t>
  </si>
  <si>
    <t xml:space="preserve">Приборов с холодной водой</t>
  </si>
  <si>
    <t xml:space="preserve">Приборов с горячей водой</t>
  </si>
  <si>
    <t xml:space="preserve">3–4-комнатная (санузел + кухня: мойка, умывальник, ванна, унитаз)</t>
  </si>
  <si>
    <t xml:space="preserve">—</t>
  </si>
  <si>
    <t xml:space="preserve">Квартир на этаже здания n_кв</t>
  </si>
  <si>
    <t xml:space="preserve">Σ квартир секции × n_сек</t>
  </si>
  <si>
    <t xml:space="preserve">Всего квартир</t>
  </si>
  <si>
    <t xml:space="preserve">n_кв · n_эт</t>
  </si>
  <si>
    <t xml:space="preserve">Число водопотребителей U, чел.</t>
  </si>
  <si>
    <t xml:space="preserve">U = N_кв.жит · n_кв · n_эт (округление вверх)</t>
  </si>
  <si>
    <t xml:space="preserve">Число приборов N (холодная и общая вода)</t>
  </si>
  <si>
    <t xml:space="preserve">N = Σ(n_пр · n_кв) · n_эт</t>
  </si>
  <si>
    <t xml:space="preserve">Число приборов N^h (горячая вода)</t>
  </si>
  <si>
    <t xml:space="preserve">без унитазов</t>
  </si>
  <si>
    <t xml:space="preserve">Нормы по табл. А.2 для выбранных водопотребителей</t>
  </si>
  <si>
    <t xml:space="preserve">q_u^tot, л/сут</t>
  </si>
  <si>
    <t xml:space="preserve">q_u^h, л/сут</t>
  </si>
  <si>
    <t xml:space="preserve">q_hr,u^tot, л/ч</t>
  </si>
  <si>
    <t xml:space="preserve">q_hr,u^h, л/ч</t>
  </si>
  <si>
    <t xml:space="preserve">q_0^tot, л/с</t>
  </si>
  <si>
    <t xml:space="preserve">q_0,hr^tot, л/ч</t>
  </si>
  <si>
    <t xml:space="preserve">q_0^c=q_0^h, л/с</t>
  </si>
  <si>
    <t xml:space="preserve">q_0,hr^c, л/ч</t>
  </si>
  <si>
    <t xml:space="preserve">Условные обозначения: синий шрифт на жёлтом — исходные данные; чёрный — формулы; зелёный — ссылки на другие листы.</t>
  </si>
  <si>
    <t xml:space="preserve">Расчёт расходов воды (СП 30.13330.2020, разд. 5): суточные, среднечасовые, секундные, часовые</t>
  </si>
  <si>
    <t xml:space="preserve">Вода</t>
  </si>
  <si>
    <t xml:space="preserve">T, ч</t>
  </si>
  <si>
    <t xml:space="preserve">U</t>
  </si>
  <si>
    <t xml:space="preserve">N</t>
  </si>
  <si>
    <t xml:space="preserve">q_u, л/сут</t>
  </si>
  <si>
    <t xml:space="preserve">q_hr,u, л/ч</t>
  </si>
  <si>
    <t xml:space="preserve">q_0, л/с</t>
  </si>
  <si>
    <t xml:space="preserve">q_0,hr, л/ч</t>
  </si>
  <si>
    <t xml:space="preserve">q_u,m, м³/сут</t>
  </si>
  <si>
    <t xml:space="preserve">q_T, м³/ч</t>
  </si>
  <si>
    <t xml:space="preserve">P</t>
  </si>
  <si>
    <t xml:space="preserve">NP</t>
  </si>
  <si>
    <t xml:space="preserve">α</t>
  </si>
  <si>
    <t xml:space="preserve">q, л/с</t>
  </si>
  <si>
    <t xml:space="preserve">P_hr</t>
  </si>
  <si>
    <t xml:space="preserve">NP_hr</t>
  </si>
  <si>
    <t xml:space="preserve">α_hr</t>
  </si>
  <si>
    <t xml:space="preserve">q_hr, м³/ч</t>
  </si>
  <si>
    <t xml:space="preserve">tot</t>
  </si>
  <si>
    <t xml:space="preserve">h</t>
  </si>
  <si>
    <t xml:space="preserve">c</t>
  </si>
  <si>
    <t xml:space="preserve">Формулы (п. 5 СП 30.13330.2020):</t>
  </si>
  <si>
    <t xml:space="preserve">q_u,m = q_u·U/1000 — суточный расход; для холодной воды q_u^c = q_u^tot − q_u^h, q_hr,u^c = q_hr,u^tot − q_hr,u^h.</t>
  </si>
  <si>
    <t xml:space="preserve">q_T = q_u,m / T — среднечасовой расход.</t>
  </si>
  <si>
    <t xml:space="preserve">P = q_hr,u·U / (q_0·N·3600) — вероятность действия приборов (п. 5.4); q = 5·q_0·α (п. 5.3).</t>
  </si>
  <si>
    <t xml:space="preserve">α = f(NP): табл. Б.2 с линейной интерполяцией y = y1 + (x − x1)·(y2 − y1)/(x2 − x1); при P &gt; 0,1 и N ≤ 200 — табл. Б.1 (интерполяция по N и P).</t>
  </si>
  <si>
    <t xml:space="preserve">P_hr = 3600·P·q_0 / q_0,hr (п. 5.9); q_hr = 0,005·α_hr·q_0,hr, м³/ч (п. 5.10).</t>
  </si>
  <si>
    <t xml:space="preserve">Для горячей воды N^h — число приборов с горячей водой (без унитазов).</t>
  </si>
  <si>
    <t xml:space="preserve">Гидравлический расчёт сети В1 по диктующему направлению (диктующий прибор — душевая сетка над ванной, 11 этаж, Ст.В1-4)</t>
  </si>
  <si>
    <t xml:space="preserve">P^c</t>
  </si>
  <si>
    <t xml:space="preserve">q_0^c, л/с</t>
  </si>
  <si>
    <t xml:space="preserve">K_м.с (хоз-питьевой водопровод жилого здания)</t>
  </si>
  <si>
    <t xml:space="preserve">№</t>
  </si>
  <si>
    <t xml:space="preserve">Участок</t>
  </si>
  <si>
    <t xml:space="preserve">L, м</t>
  </si>
  <si>
    <t xml:space="preserve">DN</t>
  </si>
  <si>
    <t xml:space="preserve">d_расч, мм</t>
  </si>
  <si>
    <t xml:space="preserve">v, м/с</t>
  </si>
  <si>
    <t xml:space="preserve">1000i</t>
  </si>
  <si>
    <t xml:space="preserve">iL, м</t>
  </si>
  <si>
    <t xml:space="preserve">h, м</t>
  </si>
  <si>
    <t xml:space="preserve">v в норме?</t>
  </si>
  <si>
    <t xml:space="preserve">квартирная разводка</t>
  </si>
  <si>
    <t xml:space="preserve">Ст.В1-4, эт. 11-10</t>
  </si>
  <si>
    <t xml:space="preserve">Ст.В1-4, эт. 10-9</t>
  </si>
  <si>
    <t xml:space="preserve">Ст.В1-4, эт. 9-8</t>
  </si>
  <si>
    <t xml:space="preserve">Ст.В1-4, эт. 8-7</t>
  </si>
  <si>
    <t xml:space="preserve">Ст.В1-4, эт. 7-6</t>
  </si>
  <si>
    <t xml:space="preserve">Ст.В1-4, эт. 6-5</t>
  </si>
  <si>
    <t xml:space="preserve">Ст.В1-4, эт. 5-4</t>
  </si>
  <si>
    <t xml:space="preserve">Ст.В1-4, эт. 4-3</t>
  </si>
  <si>
    <t xml:space="preserve">Ст.В1-4, эт. 3-2</t>
  </si>
  <si>
    <t xml:space="preserve">Ст.В1-4, эт. 2-1</t>
  </si>
  <si>
    <t xml:space="preserve">Ст.В1-4, эт. 1 - магистраль</t>
  </si>
  <si>
    <t xml:space="preserve">магистраль Ст.В1-4 – Ст.В1-3</t>
  </si>
  <si>
    <t xml:space="preserve">магистраль Ст.В1-3 – Ст.В1-2</t>
  </si>
  <si>
    <t xml:space="preserve">магистраль Ст.В1-2 – насосная</t>
  </si>
  <si>
    <t xml:space="preserve">в насосной (после ответвления на ГВС)</t>
  </si>
  <si>
    <t xml:space="preserve">Σh, м</t>
  </si>
  <si>
    <t xml:space="preserve">Потери по Шевелёву для неновых стальных труб: v &lt; 1,2 м/с — i = 0,000912·v²/d^1,3·(1 + 0,867/v)^0,3; v ≥ 1,2 м/с — i = 0,00107·v²/d^1,3 (d — расчётный диаметр, м). Скорость: магистраль и стояки до 1,2 м/с, подводки до 1,5 м/с.</t>
  </si>
  <si>
    <t xml:space="preserve">Ввод (общий расход — ГВС готовится в ИТП здания)</t>
  </si>
  <si>
    <t xml:space="preserve">q^tot, л/с</t>
  </si>
  <si>
    <t xml:space="preserve">Ø ПЭ100 SDR17, мм</t>
  </si>
  <si>
    <t xml:space="preserve">d_вн, мм</t>
  </si>
  <si>
    <t xml:space="preserve">Re (ν = 1,31·10⁻⁶ м²/с)</t>
  </si>
  <si>
    <t xml:space="preserve">λ (Свами–Джейн, Δ = 0,01 мм)</t>
  </si>
  <si>
    <t xml:space="preserve">i</t>
  </si>
  <si>
    <t xml:space="preserve">Длина ввода L, м</t>
  </si>
  <si>
    <t xml:space="preserve">h_ввод = i·L·(1 + K_м.с), м</t>
  </si>
  <si>
    <t xml:space="preserve">Счётчики воды, требуемый напор и насосная установка</t>
  </si>
  <si>
    <t xml:space="preserve">Общедомовой счётчик (пп. 12.14–12.16)</t>
  </si>
  <si>
    <t xml:space="preserve">Среднечасовой расход q_T^tot, м³/ч</t>
  </si>
  <si>
    <t xml:space="preserve">Секундный расход q^tot, л/с</t>
  </si>
  <si>
    <t xml:space="preserve">Принят DN (наименьший подходящий по табл. 12.1)</t>
  </si>
  <si>
    <t xml:space="preserve">S, м/(л/с)²</t>
  </si>
  <si>
    <t xml:space="preserve">h_сч = S·q², м</t>
  </si>
  <si>
    <t xml:space="preserve">Квартирный счётчик холодной воды</t>
  </si>
  <si>
    <t xml:space="preserve">Приборов в квартире (холодная вода)</t>
  </si>
  <si>
    <t xml:space="preserve">α = f(N·P^c)</t>
  </si>
  <si>
    <t xml:space="preserve">q = 5·q_0^c·α, л/с</t>
  </si>
  <si>
    <t xml:space="preserve">DN 15, S = 14,5; h_сч = S·q², м</t>
  </si>
  <si>
    <t xml:space="preserve">Требуемый напор (формула H_тр = H_geom + Σh + H_св + ΣH_сч + h_ввод)</t>
  </si>
  <si>
    <t xml:space="preserve">Отметка земли у ГВК (отн. 0,000), м</t>
  </si>
  <si>
    <t xml:space="preserve">Верх трубы городской сети = земля − (H_пром + 0,5), м</t>
  </si>
  <si>
    <t xml:space="preserve">Высота диктующего прибора над полом (душевая сетка), м</t>
  </si>
  <si>
    <t xml:space="preserve">Отметка диктующего прибора = (n_эт − 1)·h_эт + z_пр, м</t>
  </si>
  <si>
    <t xml:space="preserve">H_geom, м</t>
  </si>
  <si>
    <t xml:space="preserve">Σh по сети В1, м</t>
  </si>
  <si>
    <t xml:space="preserve">H_св (п. 8.21), м</t>
  </si>
  <si>
    <t xml:space="preserve">ΣH_сч, м</t>
  </si>
  <si>
    <t xml:space="preserve">h_ввод, м</t>
  </si>
  <si>
    <t xml:space="preserve">H_тр, м</t>
  </si>
  <si>
    <t xml:space="preserve">H_гар, м</t>
  </si>
  <si>
    <t xml:space="preserve">Напор насосной установки H_нас = H_тр − H_гар, м</t>
  </si>
  <si>
    <t xml:space="preserve">Подача Q = q^tot, м³/ч</t>
  </si>
  <si>
    <t xml:space="preserve">Гидростатический напор у нижнего прибора этажа (смеситель ванны, 0,8 м) — п. 8.22: более 45 м → регулятор давления</t>
  </si>
  <si>
    <t xml:space="preserve">Этаж</t>
  </si>
  <si>
    <t xml:space="preserve">H, м</t>
  </si>
  <si>
    <t xml:space="preserve">Регулятор давления</t>
  </si>
  <si>
    <t xml:space="preserve">Канализация К1: стояки, горизонтальные участки, отметки дворовой сети</t>
  </si>
  <si>
    <t xml:space="preserve">Пропускная способность стояков (q^s = q^tot + q_0^s; табл. К.1 — ПВХ Ø110, отводы Ø110 под 45°)</t>
  </si>
  <si>
    <t xml:space="preserve">Стояки</t>
  </si>
  <si>
    <t xml:space="preserve">NP^tot</t>
  </si>
  <si>
    <t xml:space="preserve">q_0^s, л/с</t>
  </si>
  <si>
    <t xml:space="preserve">q^s, л/с</t>
  </si>
  <si>
    <t xml:space="preserve">Допустимо, л/с</t>
  </si>
  <si>
    <t xml:space="preserve">Вывод</t>
  </si>
  <si>
    <t xml:space="preserve">Ст.К1-1, Ст.К1-3</t>
  </si>
  <si>
    <t xml:space="preserve">Ст.К1-2, Ст.К1-4</t>
  </si>
  <si>
    <t xml:space="preserve">Горизонтальные участки: q^sL = q_hr^tot/3,6 + K_s·q_0^s1 (п. 5.7); подбор по формуле Павловского (как таблицы Лукиных), n = 0,014</t>
  </si>
  <si>
    <t xml:space="preserve">P_hr^tot</t>
  </si>
  <si>
    <t xml:space="preserve">q_0,hr^tot</t>
  </si>
  <si>
    <t xml:space="preserve">q_0^s1, л/с</t>
  </si>
  <si>
    <t xml:space="preserve">n</t>
  </si>
  <si>
    <t xml:space="preserve">K_s</t>
  </si>
  <si>
    <t xml:space="preserve">q^sL, л/с</t>
  </si>
  <si>
    <t xml:space="preserve">d, мм</t>
  </si>
  <si>
    <t xml:space="preserve">K</t>
  </si>
  <si>
    <t xml:space="preserve">h/d</t>
  </si>
  <si>
    <t xml:space="preserve">V, м/с</t>
  </si>
  <si>
    <t xml:space="preserve">V√(h/d)</t>
  </si>
  <si>
    <t xml:space="preserve">Условие (2.3)</t>
  </si>
  <si>
    <t xml:space="preserve">Лоток: начало</t>
  </si>
  <si>
    <t xml:space="preserve">Лоток: конец</t>
  </si>
  <si>
    <t xml:space="preserve">Ст.К1-4 – Ст.К1-3 (чугун SML)</t>
  </si>
  <si>
    <t xml:space="preserve">Ст.К1-3 – КК-1, выпуск К1-2 (чугун SML)</t>
  </si>
  <si>
    <t xml:space="preserve">КК-1 – КК-2 (ПЭ гофр. Ø160)</t>
  </si>
  <si>
    <t xml:space="preserve">КК-2 – ККК (ПЭ гофр. Ø160)</t>
  </si>
  <si>
    <t xml:space="preserve">ККК – ГКК (ПЭ гофр. Ø160)</t>
  </si>
  <si>
    <t xml:space="preserve">Если условие V√(h/d) ≥ K не выполнимо из-за малого расхода и стояки уже объединены в один выпуск, участок безрасчётный: i ≥ 1/d (п. 19.1 СП 30). Принято: внутри здания i = 0,02; дворовая сеть d150 — i = 0,008 (СП 32).</t>
  </si>
  <si>
    <t xml:space="preserve">Отметки (абсолютные), м</t>
  </si>
  <si>
    <t xml:space="preserve">0,000 здания</t>
  </si>
  <si>
    <t xml:space="preserve">Лоток выпуска у стены (отн.)</t>
  </si>
  <si>
    <t xml:space="preserve">Лоток выпуска у стены (абс.)</t>
  </si>
  <si>
    <t xml:space="preserve">Длина выпуска от стены до КК-1, м</t>
  </si>
  <si>
    <t xml:space="preserve">Лоток Ø100 при входе в КК-1</t>
  </si>
  <si>
    <t xml:space="preserve">Лоток Ø150 в КК-1 (шелыга в шелыгу)</t>
  </si>
  <si>
    <t xml:space="preserve">Колодцы дворовой сети</t>
  </si>
  <si>
    <t xml:space="preserve">Колодец</t>
  </si>
  <si>
    <t xml:space="preserve">Земля</t>
  </si>
  <si>
    <t xml:space="preserve">Лоток</t>
  </si>
  <si>
    <t xml:space="preserve">Глубина</t>
  </si>
  <si>
    <t xml:space="preserve">H_0 = max(H_пр − 0,3; 0,7 + d)</t>
  </si>
  <si>
    <t xml:space="preserve">Проверка</t>
  </si>
  <si>
    <t xml:space="preserve">КК-1</t>
  </si>
  <si>
    <t xml:space="preserve">КК-2</t>
  </si>
  <si>
    <t xml:space="preserve">ККК</t>
  </si>
  <si>
    <t xml:space="preserve">ГКК</t>
  </si>
  <si>
    <t xml:space="preserve">Лоток городского коллектора Ø400 в ГКК (по месту, принят)</t>
  </si>
  <si>
    <t xml:space="preserve">Превышение лотка дворовой трубы над шелыгой коллектора, м</t>
  </si>
  <si>
    <t xml:space="preserve">СП 30.13330.2020, табл. А.2, п. 1 «Жилые дома квартирного типа» (на 1 жителя)</t>
  </si>
  <si>
    <t xml:space="preserve">Водопотребители</t>
  </si>
  <si>
    <t xml:space="preserve">q_0^c (q_0^h), л/с</t>
  </si>
  <si>
    <t xml:space="preserve">без ванн</t>
  </si>
  <si>
    <t xml:space="preserve">ванны, тв. топливо</t>
  </si>
  <si>
    <t xml:space="preserve">ванны, газ. водонагр.</t>
  </si>
  <si>
    <t xml:space="preserve">ЦГВ, умыв., мойки, души</t>
  </si>
  <si>
    <t xml:space="preserve">сидячие ванны с душами</t>
  </si>
  <si>
    <t xml:space="preserve">СП 30.13330.2020, табл. Б.1: α при P &gt; 0,1 и N ≤ 200</t>
  </si>
  <si>
    <t xml:space="preserve">N \ P</t>
  </si>
  <si>
    <t xml:space="preserve">СП 30.13330.2020, табл. Б.2: α при P &gt; 0,1 и любом N, а также при P ≤ 0,1 и N &gt; 200 (при NP &lt; 0,015 α = 0,200)</t>
  </si>
  <si>
    <t xml:space="preserve">СП 30.13330.2020, табл. 5.1: коэффициент K_s по числу приборов N и длине участка L, м</t>
  </si>
  <si>
    <t xml:space="preserve">N \ L</t>
  </si>
  <si>
    <t xml:space="preserve">СП 30.13330.2020, табл. 12.1 и п. 12.16: счётчики воды</t>
  </si>
  <si>
    <t xml:space="preserve">DN, мм</t>
  </si>
  <si>
    <t xml:space="preserve">q экспл., м³/ч</t>
  </si>
  <si>
    <t xml:space="preserve">Допустимые потери, м</t>
  </si>
  <si>
    <t xml:space="preserve">Подходит?</t>
  </si>
  <si>
    <t xml:space="preserve">Допустимые потери (п. 12.16): крыльчатые (DN ≤ 40) — 5 м, турбинные — 2,5 м. Счётчик подбирается по среднечасовому расходу (п. 12.14).</t>
  </si>
  <si>
    <t xml:space="preserve">Трубы: сталь ВГП оцинкованная (ГОСТ 3262-75) и ПЭ100 SDR17</t>
  </si>
  <si>
    <t xml:space="preserve">d_расч = d_вн − 1, мм</t>
  </si>
  <si>
    <t xml:space="preserve">ПЭ, Ø нар.</t>
  </si>
  <si>
    <t xml:space="preserve">Расчётный диаметр Шевелёва для стальных труб d_вн − 1 мм сверен с табл. 1 «Таблиц для гидравлического расчёта водопроводных труб» (1000i совпадает до 0,3 %).</t>
  </si>
  <si>
    <t xml:space="preserve">Вспомогательная таблица: расход q, л/с, при наполнении h/d для участков К1 (формула Шези с C по Павловскому)</t>
  </si>
  <si>
    <t xml:space="preserve">d, м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</si>
</sst>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"/>
    <numFmt numFmtId="167" formatCode="0.00"/>
    <numFmt numFmtId="168" formatCode="0.0##"/>
    <numFmt numFmtId="169" formatCode="0.000"/>
    <numFmt numFmtId="170" formatCode="0.00000"/>
    <numFmt numFmtId="171" formatCode="0.0000"/>
    <numFmt numFmtId="172" formatCode="0.00E+00"/>
    <numFmt numFmtId="173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color rgb="FF000000"/>
      <name val="Times New Roman"/>
      <family val="0"/>
      <charset val="1"/>
    </font>
    <font>
      <i val="true"/>
      <sz val="10"/>
      <color rgb="FF555555"/>
      <name val="Times New Roman"/>
      <family val="0"/>
      <charset val="1"/>
    </font>
    <font>
      <sz val="11"/>
      <color rgb="FF00800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F99"/>
        <bgColor rgb="FFFFFFCC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29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25.35" hidden="false" customHeight="false" outlineLevel="0" collapsed="false">
      <c r="A12" s="2" t="s">
        <v>9</v>
      </c>
    </row>
    <row r="13" customFormat="false" ht="25.3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25.3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3" t="s">
        <v>15</v>
      </c>
    </row>
    <row r="3" customFormat="false" ht="15" hidden="false" customHeight="false" outlineLevel="0" collapsed="false">
      <c r="A3" s="4" t="s">
        <v>16</v>
      </c>
      <c r="B3" s="5" t="n">
        <v>11</v>
      </c>
    </row>
    <row r="4" customFormat="false" ht="15" hidden="false" customHeight="false" outlineLevel="0" collapsed="false">
      <c r="A4" s="4" t="s">
        <v>17</v>
      </c>
      <c r="B4" s="5" t="n">
        <v>2</v>
      </c>
    </row>
    <row r="5" customFormat="false" ht="15" hidden="false" customHeight="false" outlineLevel="0" collapsed="false">
      <c r="A5" s="4" t="s">
        <v>18</v>
      </c>
      <c r="B5" s="6" t="n">
        <v>3.8</v>
      </c>
    </row>
    <row r="6" customFormat="false" ht="15" hidden="false" customHeight="false" outlineLevel="0" collapsed="false">
      <c r="A6" s="4" t="s">
        <v>19</v>
      </c>
      <c r="B6" s="7" t="n">
        <v>3.2</v>
      </c>
    </row>
    <row r="7" customFormat="false" ht="15" hidden="false" customHeight="false" outlineLevel="0" collapsed="false">
      <c r="A7" s="4" t="s">
        <v>20</v>
      </c>
      <c r="B7" s="5" t="n">
        <v>24</v>
      </c>
    </row>
    <row r="8" customFormat="false" ht="15" hidden="false" customHeight="false" outlineLevel="0" collapsed="false">
      <c r="A8" s="4" t="s">
        <v>21</v>
      </c>
      <c r="B8" s="6" t="n">
        <v>14</v>
      </c>
    </row>
    <row r="9" customFormat="false" ht="15" hidden="false" customHeight="false" outlineLevel="0" collapsed="false">
      <c r="A9" s="4" t="s">
        <v>22</v>
      </c>
      <c r="B9" s="7" t="n">
        <v>1.7</v>
      </c>
    </row>
    <row r="11" customFormat="false" ht="15" hidden="false" customHeight="true" outlineLevel="0" collapsed="false">
      <c r="A11" s="4" t="s">
        <v>23</v>
      </c>
      <c r="B11" s="8" t="s">
        <v>24</v>
      </c>
      <c r="C11" s="8"/>
      <c r="D11" s="8"/>
      <c r="E11" s="8"/>
    </row>
    <row r="13" customFormat="false" ht="15" hidden="false" customHeight="false" outlineLevel="0" collapsed="false">
      <c r="A13" s="4" t="s">
        <v>25</v>
      </c>
    </row>
    <row r="14" customFormat="false" ht="25.35" hidden="false" customHeight="false" outlineLevel="0" collapsed="false">
      <c r="A14" s="9" t="s">
        <v>26</v>
      </c>
      <c r="B14" s="9" t="s">
        <v>27</v>
      </c>
      <c r="C14" s="9" t="s">
        <v>28</v>
      </c>
      <c r="D14" s="9" t="s">
        <v>29</v>
      </c>
    </row>
    <row r="15" customFormat="false" ht="15" hidden="false" customHeight="false" outlineLevel="0" collapsed="false">
      <c r="A15" s="8" t="s">
        <v>30</v>
      </c>
      <c r="B15" s="5" t="n">
        <v>3</v>
      </c>
      <c r="C15" s="5" t="n">
        <v>4</v>
      </c>
      <c r="D15" s="5" t="n">
        <v>3</v>
      </c>
    </row>
    <row r="16" customFormat="false" ht="15" hidden="false" customHeight="false" outlineLevel="0" collapsed="false">
      <c r="A16" s="8" t="s">
        <v>31</v>
      </c>
      <c r="B16" s="5" t="n">
        <v>0</v>
      </c>
      <c r="C16" s="5" t="n">
        <v>0</v>
      </c>
      <c r="D16" s="5" t="n">
        <v>0</v>
      </c>
    </row>
    <row r="17" customFormat="false" ht="15" hidden="false" customHeight="false" outlineLevel="0" collapsed="false">
      <c r="A17" s="8" t="s">
        <v>31</v>
      </c>
      <c r="B17" s="5" t="n">
        <v>0</v>
      </c>
      <c r="C17" s="5" t="n">
        <v>0</v>
      </c>
      <c r="D17" s="5" t="n">
        <v>0</v>
      </c>
    </row>
    <row r="19" customFormat="false" ht="23.85" hidden="false" customHeight="false" outlineLevel="0" collapsed="false">
      <c r="A19" s="4" t="s">
        <v>32</v>
      </c>
      <c r="B19" s="10" t="n">
        <f aca="false">SUM(B15:B17)*B4</f>
        <v>6</v>
      </c>
      <c r="C19" s="11" t="s">
        <v>33</v>
      </c>
    </row>
    <row r="20" customFormat="false" ht="15" hidden="false" customHeight="false" outlineLevel="0" collapsed="false">
      <c r="A20" s="4" t="s">
        <v>34</v>
      </c>
      <c r="B20" s="10" t="n">
        <f aca="false">B19*B3</f>
        <v>66</v>
      </c>
      <c r="C20" s="11" t="s">
        <v>35</v>
      </c>
    </row>
    <row r="21" customFormat="false" ht="35.05" hidden="false" customHeight="false" outlineLevel="0" collapsed="false">
      <c r="A21" s="4" t="s">
        <v>36</v>
      </c>
      <c r="B21" s="10" t="n">
        <f aca="false">ROUNDUP(B5*B19*B3,0)</f>
        <v>251</v>
      </c>
      <c r="C21" s="11" t="s">
        <v>37</v>
      </c>
    </row>
    <row r="22" customFormat="false" ht="23.85" hidden="false" customHeight="false" outlineLevel="0" collapsed="false">
      <c r="A22" s="4" t="s">
        <v>38</v>
      </c>
      <c r="B22" s="10" t="n">
        <f aca="false">SUMPRODUCT(B15:B17,C15:C17)*B4*B3</f>
        <v>264</v>
      </c>
      <c r="C22" s="11" t="s">
        <v>39</v>
      </c>
    </row>
    <row r="23" customFormat="false" ht="15" hidden="false" customHeight="false" outlineLevel="0" collapsed="false">
      <c r="A23" s="4" t="s">
        <v>40</v>
      </c>
      <c r="B23" s="10" t="n">
        <f aca="false">SUMPRODUCT(B15:B17,D15:D17)*B4*B3</f>
        <v>198</v>
      </c>
      <c r="C23" s="11" t="s">
        <v>41</v>
      </c>
    </row>
    <row r="25" customFormat="false" ht="15" hidden="false" customHeight="false" outlineLevel="0" collapsed="false">
      <c r="A25" s="4" t="s">
        <v>42</v>
      </c>
    </row>
    <row r="26" customFormat="false" ht="15" hidden="false" customHeight="false" outlineLevel="0" collapsed="false">
      <c r="A26" s="4" t="s">
        <v>43</v>
      </c>
      <c r="B26" s="12" t="n">
        <f aca="false">INDEX(A2_TAB,MATCH($B$11,A2_NAME,0),2)</f>
        <v>180</v>
      </c>
    </row>
    <row r="27" customFormat="false" ht="15" hidden="false" customHeight="false" outlineLevel="0" collapsed="false">
      <c r="A27" s="4" t="s">
        <v>44</v>
      </c>
      <c r="B27" s="12" t="n">
        <f aca="false">INDEX(A2_TAB,MATCH($B$11,A2_NAME,0),3)</f>
        <v>70</v>
      </c>
    </row>
    <row r="28" customFormat="false" ht="15" hidden="false" customHeight="false" outlineLevel="0" collapsed="false">
      <c r="A28" s="4" t="s">
        <v>45</v>
      </c>
      <c r="B28" s="12" t="n">
        <f aca="false">INDEX(A2_TAB,MATCH($B$11,A2_NAME,0),4)</f>
        <v>11.6</v>
      </c>
    </row>
    <row r="29" customFormat="false" ht="15" hidden="false" customHeight="false" outlineLevel="0" collapsed="false">
      <c r="A29" s="4" t="s">
        <v>46</v>
      </c>
      <c r="B29" s="12" t="n">
        <f aca="false">INDEX(A2_TAB,MATCH($B$11,A2_NAME,0),5)</f>
        <v>6.5</v>
      </c>
    </row>
    <row r="30" customFormat="false" ht="15" hidden="false" customHeight="false" outlineLevel="0" collapsed="false">
      <c r="A30" s="4" t="s">
        <v>47</v>
      </c>
      <c r="B30" s="12" t="n">
        <f aca="false">INDEX(A2_TAB,MATCH($B$11,A2_NAME,0),6)</f>
        <v>0.3</v>
      </c>
    </row>
    <row r="31" customFormat="false" ht="15" hidden="false" customHeight="false" outlineLevel="0" collapsed="false">
      <c r="A31" s="4" t="s">
        <v>48</v>
      </c>
      <c r="B31" s="12" t="n">
        <f aca="false">INDEX(A2_TAB,MATCH($B$11,A2_NAME,0),7)</f>
        <v>300</v>
      </c>
    </row>
    <row r="32" customFormat="false" ht="15" hidden="false" customHeight="false" outlineLevel="0" collapsed="false">
      <c r="A32" s="4" t="s">
        <v>49</v>
      </c>
      <c r="B32" s="12" t="n">
        <f aca="false">INDEX(A2_TAB,MATCH($B$11,A2_NAME,0),8)</f>
        <v>0.2</v>
      </c>
    </row>
    <row r="33" customFormat="false" ht="15" hidden="false" customHeight="false" outlineLevel="0" collapsed="false">
      <c r="A33" s="4" t="s">
        <v>50</v>
      </c>
      <c r="B33" s="12" t="n">
        <f aca="false">INDEX(A2_TAB,MATCH($B$11,A2_NAME,0),9)</f>
        <v>200</v>
      </c>
    </row>
    <row r="35" customFormat="false" ht="23.85" hidden="false" customHeight="false" outlineLevel="0" collapsed="false">
      <c r="A35" s="11" t="s">
        <v>51</v>
      </c>
    </row>
  </sheetData>
  <mergeCells count="1">
    <mergeCell ref="B11:E11"/>
  </mergeCells>
  <dataValidations count="1">
    <dataValidation allowBlank="false" errorStyle="stop" operator="between" showDropDown="false" showErrorMessage="false" showInputMessage="false" sqref="B11" type="list">
      <formula1>A2_NAME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4" min="3" style="0" width="7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18" min="18" style="0" width="10"/>
  </cols>
  <sheetData>
    <row r="1" customFormat="false" ht="16.15" hidden="false" customHeight="false" outlineLevel="0" collapsed="false">
      <c r="A1" s="3" t="s">
        <v>52</v>
      </c>
    </row>
    <row r="3" customFormat="false" ht="25.35" hidden="false" customHeight="false" outlineLevel="0" collapsed="false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  <c r="F3" s="9" t="s">
        <v>58</v>
      </c>
      <c r="G3" s="9" t="s">
        <v>59</v>
      </c>
      <c r="H3" s="9" t="s">
        <v>60</v>
      </c>
      <c r="I3" s="9" t="s">
        <v>61</v>
      </c>
      <c r="J3" s="9" t="s">
        <v>62</v>
      </c>
      <c r="K3" s="9" t="s">
        <v>63</v>
      </c>
      <c r="L3" s="9" t="s">
        <v>64</v>
      </c>
      <c r="M3" s="9" t="s">
        <v>65</v>
      </c>
      <c r="N3" s="9" t="s">
        <v>66</v>
      </c>
      <c r="O3" s="9" t="s">
        <v>67</v>
      </c>
      <c r="P3" s="9" t="s">
        <v>68</v>
      </c>
      <c r="Q3" s="9" t="s">
        <v>69</v>
      </c>
      <c r="R3" s="9" t="s">
        <v>70</v>
      </c>
    </row>
    <row r="4" customFormat="false" ht="15" hidden="false" customHeight="false" outlineLevel="0" collapsed="false">
      <c r="A4" s="9" t="s">
        <v>71</v>
      </c>
      <c r="B4" s="13" t="n">
        <f aca="false">Исходные!$B$7</f>
        <v>24</v>
      </c>
      <c r="C4" s="13" t="n">
        <f aca="false">Исходные!$B$21</f>
        <v>251</v>
      </c>
      <c r="D4" s="13" t="n">
        <f aca="false">Исходные!B22</f>
        <v>264</v>
      </c>
      <c r="E4" s="14" t="n">
        <f aca="false">Исходные!B26</f>
        <v>180</v>
      </c>
      <c r="F4" s="14" t="n">
        <f aca="false">Исходные!B28</f>
        <v>11.6</v>
      </c>
      <c r="G4" s="15" t="n">
        <f aca="false">Исходные!B30</f>
        <v>0.3</v>
      </c>
      <c r="H4" s="13" t="n">
        <f aca="false">Исходные!B31</f>
        <v>300</v>
      </c>
      <c r="I4" s="16" t="n">
        <f aca="false">E4*C4/1000</f>
        <v>45.18</v>
      </c>
      <c r="J4" s="17" t="n">
        <f aca="false">I4/B4</f>
        <v>1.8825</v>
      </c>
      <c r="K4" s="18" t="n">
        <f aca="false">F4*C4/(G4*D4*3600)</f>
        <v>0.0102118406285073</v>
      </c>
      <c r="L4" s="17" t="n">
        <f aca="false">D4*K4</f>
        <v>2.69592592592593</v>
      </c>
      <c r="M4" s="17" t="n">
        <f aca="false">IF(AND(K4&gt;0.1,D4&lt;=200),((1-MIN(1,(MAX(D4,INDEX(B1_N,1))-INDEX(B1_N,MIN(MATCH(MAX(D4,INDEX(B1_N,1)),B1_N,1),ROWS(B1_N)-1)))/(INDEX(B1_N,MIN(MATCH(MAX(D4,INDEX(B1_N,1)),B1_N,1),ROWS(B1_N)-1)+1)-INDEX(B1_N,MIN(MATCH(MAX(D4,INDEX(B1_N,1)),B1_N,1),ROWS(B1_N)-1)))))*((1-MIN(1,(K4-INDEX(B1_P,1,MIN(MATCH(K4,B1_P,1),COLUMNS(B1_P)-1)))/(INDEX(B1_P,1,MIN(MATCH(K4,B1_P,1),COLUMNS(B1_P)-1)+1)-INDEX(B1_P,1,MIN(MATCH(K4,B1_P,1),COLUMNS(B1_P)-1)))))*INDEX(B1_G,MIN(MATCH(MAX(D4,INDEX(B1_N,1)),B1_N,1),ROWS(B1_N)-1),MIN(MATCH(K4,B1_P,1),COLUMNS(B1_P)-1))+MIN(1,(K4-INDEX(B1_P,1,MIN(MATCH(K4,B1_P,1),COLUMNS(B1_P)-1)))/(INDEX(B1_P,1,MIN(MATCH(K4,B1_P,1),COLUMNS(B1_P)-1)+1)-INDEX(B1_P,1,MIN(MATCH(K4,B1_P,1),COLUMNS(B1_P)-1))))*INDEX(B1_G,MIN(MATCH(MAX(D4,INDEX(B1_N,1)),B1_N,1),ROWS(B1_N)-1),MIN(MATCH(K4,B1_P,1),COLUMNS(B1_P)-1)+1))+MIN(1,(MAX(D4,INDEX(B1_N,1))-INDEX(B1_N,MIN(MATCH(MAX(D4,INDEX(B1_N,1)),B1_N,1),ROWS(B1_N)-1)))/(INDEX(B1_N,MIN(MATCH(MAX(D4,INDEX(B1_N,1)),B1_N,1),ROWS(B1_N)-1)+1)-INDEX(B1_N,MIN(MATCH(MAX(D4,INDEX(B1_N,1)),B1_N,1),ROWS(B1_N)-1))))*((1-MIN(1,(K4-INDEX(B1_P,1,MIN(MATCH(K4,B1_P,1),COLUMNS(B1_P)-1)))/(INDEX(B1_P,1,MIN(MATCH(K4,B1_P,1),COLUMNS(B1_P)-1)+1)-INDEX(B1_P,1,MIN(MATCH(K4,B1_P,1),COLUMNS(B1_P)-1)))))*INDEX(B1_G,MIN(MATCH(MAX(D4,INDEX(B1_N,1)),B1_N,1),ROWS(B1_N)-1)+1,MIN(MATCH(K4,B1_P,1),COLUMNS(B1_P)-1))+MIN(1,(K4-INDEX(B1_P,1,MIN(MATCH(K4,B1_P,1),COLUMNS(B1_P)-1)))/(INDEX(B1_P,1,MIN(MATCH(K4,B1_P,1),COLUMNS(B1_P)-1)+1)-INDEX(B1_P,1,MIN(MATCH(K4,B1_P,1),COLUMNS(B1_P)-1))))*INDEX(B1_G,MIN(MATCH(MAX(D4,INDEX(B1_N,1)),B1_N,1),ROWS(B1_N)-1)+1,MIN(MATCH(K4,B1_P,1),COLUMNS(B1_P)-1)+1))),IF((D4*K4)&lt;INDEX(B2_NP,1),0.2,IF((D4*K4)&gt;=INDEX(B2_NP,ROWS(B2_NP)),INDEX(B2_A,ROWS(B2_NP)),INDEX(B2_A,MATCH((D4*K4),B2_NP,1))+((D4*K4)-INDEX(B2_NP,MATCH((D4*K4),B2_NP,1)))*(INDEX(B2_A,MATCH((D4*K4),B2_NP,1)+1)-INDEX(B2_A,MATCH((D4*K4),B2_NP,1)))/(INDEX(B2_NP,MATCH((D4*K4),B2_NP,1)+1)-INDEX(B2_NP,MATCH((D4*K4),B2_NP,1))))))</f>
        <v>1.72237037037037</v>
      </c>
      <c r="N4" s="19" t="n">
        <f aca="false">5*G4*M4</f>
        <v>2.58355555555556</v>
      </c>
      <c r="O4" s="18" t="n">
        <f aca="false">3600*K4*G4/H4</f>
        <v>0.0367626262626263</v>
      </c>
      <c r="P4" s="17" t="n">
        <f aca="false">D4*O4</f>
        <v>9.70533333333333</v>
      </c>
      <c r="Q4" s="17" t="n">
        <f aca="false">IF(AND(O4&gt;0.1,D4&lt;=200),((1-MIN(1,(MAX(D4,INDEX(B1_N,1))-INDEX(B1_N,MIN(MATCH(MAX(D4,INDEX(B1_N,1)),B1_N,1),ROWS(B1_N)-1)))/(INDEX(B1_N,MIN(MATCH(MAX(D4,INDEX(B1_N,1)),B1_N,1),ROWS(B1_N)-1)+1)-INDEX(B1_N,MIN(MATCH(MAX(D4,INDEX(B1_N,1)),B1_N,1),ROWS(B1_N)-1)))))*((1-MIN(1,(O4-INDEX(B1_P,1,MIN(MATCH(O4,B1_P,1),COLUMNS(B1_P)-1)))/(INDEX(B1_P,1,MIN(MATCH(O4,B1_P,1),COLUMNS(B1_P)-1)+1)-INDEX(B1_P,1,MIN(MATCH(O4,B1_P,1),COLUMNS(B1_P)-1)))))*INDEX(B1_G,MIN(MATCH(MAX(D4,INDEX(B1_N,1)),B1_N,1),ROWS(B1_N)-1),MIN(MATCH(O4,B1_P,1),COLUMNS(B1_P)-1))+MIN(1,(O4-INDEX(B1_P,1,MIN(MATCH(O4,B1_P,1),COLUMNS(B1_P)-1)))/(INDEX(B1_P,1,MIN(MATCH(O4,B1_P,1),COLUMNS(B1_P)-1)+1)-INDEX(B1_P,1,MIN(MATCH(O4,B1_P,1),COLUMNS(B1_P)-1))))*INDEX(B1_G,MIN(MATCH(MAX(D4,INDEX(B1_N,1)),B1_N,1),ROWS(B1_N)-1),MIN(MATCH(O4,B1_P,1),COLUMNS(B1_P)-1)+1))+MIN(1,(MAX(D4,INDEX(B1_N,1))-INDEX(B1_N,MIN(MATCH(MAX(D4,INDEX(B1_N,1)),B1_N,1),ROWS(B1_N)-1)))/(INDEX(B1_N,MIN(MATCH(MAX(D4,INDEX(B1_N,1)),B1_N,1),ROWS(B1_N)-1)+1)-INDEX(B1_N,MIN(MATCH(MAX(D4,INDEX(B1_N,1)),B1_N,1),ROWS(B1_N)-1))))*((1-MIN(1,(O4-INDEX(B1_P,1,MIN(MATCH(O4,B1_P,1),COLUMNS(B1_P)-1)))/(INDEX(B1_P,1,MIN(MATCH(O4,B1_P,1),COLUMNS(B1_P)-1)+1)-INDEX(B1_P,1,MIN(MATCH(O4,B1_P,1),COLUMNS(B1_P)-1)))))*INDEX(B1_G,MIN(MATCH(MAX(D4,INDEX(B1_N,1)),B1_N,1),ROWS(B1_N)-1)+1,MIN(MATCH(O4,B1_P,1),COLUMNS(B1_P)-1))+MIN(1,(O4-INDEX(B1_P,1,MIN(MATCH(O4,B1_P,1),COLUMNS(B1_P)-1)))/(INDEX(B1_P,1,MIN(MATCH(O4,B1_P,1),COLUMNS(B1_P)-1)+1)-INDEX(B1_P,1,MIN(MATCH(O4,B1_P,1),COLUMNS(B1_P)-1))))*INDEX(B1_G,MIN(MATCH(MAX(D4,INDEX(B1_N,1)),B1_N,1),ROWS(B1_N)-1)+1,MIN(MATCH(O4,B1_P,1),COLUMNS(B1_P)-1)+1))),IF((D4*O4)&lt;INDEX(B2_NP,1),0.2,IF((D4*O4)&gt;=INDEX(B2_NP,ROWS(B2_NP)),INDEX(B2_A,ROWS(B2_NP)),INDEX(B2_A,MATCH((D4*O4),B2_NP,1))+((D4*O4)-INDEX(B2_NP,MATCH((D4*O4),B2_NP,1)))*(INDEX(B2_A,MATCH((D4*O4),B2_NP,1)+1)-INDEX(B2_A,MATCH((D4*O4),B2_NP,1)))/(INDEX(B2_NP,MATCH((D4*O4),B2_NP,1)+1)-INDEX(B2_NP,MATCH((D4*O4),B2_NP,1))))))</f>
        <v>4.0386</v>
      </c>
      <c r="R4" s="19" t="n">
        <f aca="false">0.005*Q4*H4</f>
        <v>6.0579</v>
      </c>
    </row>
    <row r="5" customFormat="false" ht="15" hidden="false" customHeight="false" outlineLevel="0" collapsed="false">
      <c r="A5" s="9" t="s">
        <v>72</v>
      </c>
      <c r="B5" s="13" t="n">
        <f aca="false">Исходные!$B$7</f>
        <v>24</v>
      </c>
      <c r="C5" s="13" t="n">
        <f aca="false">Исходные!$B$21</f>
        <v>251</v>
      </c>
      <c r="D5" s="13" t="n">
        <f aca="false">Исходные!B23</f>
        <v>198</v>
      </c>
      <c r="E5" s="14" t="n">
        <f aca="false">Исходные!B27</f>
        <v>70</v>
      </c>
      <c r="F5" s="14" t="n">
        <f aca="false">Исходные!B29</f>
        <v>6.5</v>
      </c>
      <c r="G5" s="15" t="n">
        <f aca="false">Исходные!B32</f>
        <v>0.2</v>
      </c>
      <c r="H5" s="13" t="n">
        <f aca="false">Исходные!B33</f>
        <v>200</v>
      </c>
      <c r="I5" s="16" t="n">
        <f aca="false">E5*C5/1000</f>
        <v>17.57</v>
      </c>
      <c r="J5" s="17" t="n">
        <f aca="false">I5/B5</f>
        <v>0.732083333333333</v>
      </c>
      <c r="K5" s="18" t="n">
        <f aca="false">F5*C5/(G5*D5*3600)</f>
        <v>0.0114443041526375</v>
      </c>
      <c r="L5" s="17" t="n">
        <f aca="false">D5*K5</f>
        <v>2.26597222222222</v>
      </c>
      <c r="M5" s="17" t="n">
        <f aca="false">IF(AND(K5&gt;0.1,D5&lt;=200),((1-MIN(1,(MAX(D5,INDEX(B1_N,1))-INDEX(B1_N,MIN(MATCH(MAX(D5,INDEX(B1_N,1)),B1_N,1),ROWS(B1_N)-1)))/(INDEX(B1_N,MIN(MATCH(MAX(D5,INDEX(B1_N,1)),B1_N,1),ROWS(B1_N)-1)+1)-INDEX(B1_N,MIN(MATCH(MAX(D5,INDEX(B1_N,1)),B1_N,1),ROWS(B1_N)-1)))))*((1-MIN(1,(K5-INDEX(B1_P,1,MIN(MATCH(K5,B1_P,1),COLUMNS(B1_P)-1)))/(INDEX(B1_P,1,MIN(MATCH(K5,B1_P,1),COLUMNS(B1_P)-1)+1)-INDEX(B1_P,1,MIN(MATCH(K5,B1_P,1),COLUMNS(B1_P)-1)))))*INDEX(B1_G,MIN(MATCH(MAX(D5,INDEX(B1_N,1)),B1_N,1),ROWS(B1_N)-1),MIN(MATCH(K5,B1_P,1),COLUMNS(B1_P)-1))+MIN(1,(K5-INDEX(B1_P,1,MIN(MATCH(K5,B1_P,1),COLUMNS(B1_P)-1)))/(INDEX(B1_P,1,MIN(MATCH(K5,B1_P,1),COLUMNS(B1_P)-1)+1)-INDEX(B1_P,1,MIN(MATCH(K5,B1_P,1),COLUMNS(B1_P)-1))))*INDEX(B1_G,MIN(MATCH(MAX(D5,INDEX(B1_N,1)),B1_N,1),ROWS(B1_N)-1),MIN(MATCH(K5,B1_P,1),COLUMNS(B1_P)-1)+1))+MIN(1,(MAX(D5,INDEX(B1_N,1))-INDEX(B1_N,MIN(MATCH(MAX(D5,INDEX(B1_N,1)),B1_N,1),ROWS(B1_N)-1)))/(INDEX(B1_N,MIN(MATCH(MAX(D5,INDEX(B1_N,1)),B1_N,1),ROWS(B1_N)-1)+1)-INDEX(B1_N,MIN(MATCH(MAX(D5,INDEX(B1_N,1)),B1_N,1),ROWS(B1_N)-1))))*((1-MIN(1,(K5-INDEX(B1_P,1,MIN(MATCH(K5,B1_P,1),COLUMNS(B1_P)-1)))/(INDEX(B1_P,1,MIN(MATCH(K5,B1_P,1),COLUMNS(B1_P)-1)+1)-INDEX(B1_P,1,MIN(MATCH(K5,B1_P,1),COLUMNS(B1_P)-1)))))*INDEX(B1_G,MIN(MATCH(MAX(D5,INDEX(B1_N,1)),B1_N,1),ROWS(B1_N)-1)+1,MIN(MATCH(K5,B1_P,1),COLUMNS(B1_P)-1))+MIN(1,(K5-INDEX(B1_P,1,MIN(MATCH(K5,B1_P,1),COLUMNS(B1_P)-1)))/(INDEX(B1_P,1,MIN(MATCH(K5,B1_P,1),COLUMNS(B1_P)-1)+1)-INDEX(B1_P,1,MIN(MATCH(K5,B1_P,1),COLUMNS(B1_P)-1))))*INDEX(B1_G,MIN(MATCH(MAX(D5,INDEX(B1_N,1)),B1_N,1),ROWS(B1_N)-1)+1,MIN(MATCH(K5,B1_P,1),COLUMNS(B1_P)-1)+1))),IF((D5*K5)&lt;INDEX(B2_NP,1),0.2,IF((D5*K5)&gt;=INDEX(B2_NP,ROWS(B2_NP)),INDEX(B2_A,ROWS(B2_NP)),INDEX(B2_A,MATCH((D5*K5),B2_NP,1))+((D5*K5)-INDEX(B2_NP,MATCH((D5*K5),B2_NP,1)))*(INDEX(B2_A,MATCH((D5*K5),B2_NP,1)+1)-INDEX(B2_A,MATCH((D5*K5),B2_NP,1)))/(INDEX(B2_NP,MATCH((D5*K5),B2_NP,1)+1)-INDEX(B2_NP,MATCH((D5*K5),B2_NP,1))))))</f>
        <v>1.54870833333333</v>
      </c>
      <c r="N5" s="19" t="n">
        <f aca="false">5*G5*M5</f>
        <v>1.54870833333333</v>
      </c>
      <c r="O5" s="18" t="n">
        <f aca="false">3600*K5*G5/H5</f>
        <v>0.041199494949495</v>
      </c>
      <c r="P5" s="17" t="n">
        <f aca="false">D5*O5</f>
        <v>8.1575</v>
      </c>
      <c r="Q5" s="17" t="n">
        <f aca="false">IF(AND(O5&gt;0.1,D5&lt;=200),((1-MIN(1,(MAX(D5,INDEX(B1_N,1))-INDEX(B1_N,MIN(MATCH(MAX(D5,INDEX(B1_N,1)),B1_N,1),ROWS(B1_N)-1)))/(INDEX(B1_N,MIN(MATCH(MAX(D5,INDEX(B1_N,1)),B1_N,1),ROWS(B1_N)-1)+1)-INDEX(B1_N,MIN(MATCH(MAX(D5,INDEX(B1_N,1)),B1_N,1),ROWS(B1_N)-1)))))*((1-MIN(1,(O5-INDEX(B1_P,1,MIN(MATCH(O5,B1_P,1),COLUMNS(B1_P)-1)))/(INDEX(B1_P,1,MIN(MATCH(O5,B1_P,1),COLUMNS(B1_P)-1)+1)-INDEX(B1_P,1,MIN(MATCH(O5,B1_P,1),COLUMNS(B1_P)-1)))))*INDEX(B1_G,MIN(MATCH(MAX(D5,INDEX(B1_N,1)),B1_N,1),ROWS(B1_N)-1),MIN(MATCH(O5,B1_P,1),COLUMNS(B1_P)-1))+MIN(1,(O5-INDEX(B1_P,1,MIN(MATCH(O5,B1_P,1),COLUMNS(B1_P)-1)))/(INDEX(B1_P,1,MIN(MATCH(O5,B1_P,1),COLUMNS(B1_P)-1)+1)-INDEX(B1_P,1,MIN(MATCH(O5,B1_P,1),COLUMNS(B1_P)-1))))*INDEX(B1_G,MIN(MATCH(MAX(D5,INDEX(B1_N,1)),B1_N,1),ROWS(B1_N)-1),MIN(MATCH(O5,B1_P,1),COLUMNS(B1_P)-1)+1))+MIN(1,(MAX(D5,INDEX(B1_N,1))-INDEX(B1_N,MIN(MATCH(MAX(D5,INDEX(B1_N,1)),B1_N,1),ROWS(B1_N)-1)))/(INDEX(B1_N,MIN(MATCH(MAX(D5,INDEX(B1_N,1)),B1_N,1),ROWS(B1_N)-1)+1)-INDEX(B1_N,MIN(MATCH(MAX(D5,INDEX(B1_N,1)),B1_N,1),ROWS(B1_N)-1))))*((1-MIN(1,(O5-INDEX(B1_P,1,MIN(MATCH(O5,B1_P,1),COLUMNS(B1_P)-1)))/(INDEX(B1_P,1,MIN(MATCH(O5,B1_P,1),COLUMNS(B1_P)-1)+1)-INDEX(B1_P,1,MIN(MATCH(O5,B1_P,1),COLUMNS(B1_P)-1)))))*INDEX(B1_G,MIN(MATCH(MAX(D5,INDEX(B1_N,1)),B1_N,1),ROWS(B1_N)-1)+1,MIN(MATCH(O5,B1_P,1),COLUMNS(B1_P)-1))+MIN(1,(O5-INDEX(B1_P,1,MIN(MATCH(O5,B1_P,1),COLUMNS(B1_P)-1)))/(INDEX(B1_P,1,MIN(MATCH(O5,B1_P,1),COLUMNS(B1_P)-1)+1)-INDEX(B1_P,1,MIN(MATCH(O5,B1_P,1),COLUMNS(B1_P)-1))))*INDEX(B1_G,MIN(MATCH(MAX(D5,INDEX(B1_N,1)),B1_N,1),ROWS(B1_N)-1)+1,MIN(MATCH(O5,B1_P,1),COLUMNS(B1_P)-1)+1))),IF((D5*O5)&lt;INDEX(B2_NP,1),0.2,IF((D5*O5)&gt;=INDEX(B2_NP,ROWS(B2_NP)),INDEX(B2_A,ROWS(B2_NP)),INDEX(B2_A,MATCH((D5*O5),B2_NP,1))+((D5*O5)-INDEX(B2_NP,MATCH((D5*O5),B2_NP,1)))*(INDEX(B2_A,MATCH((D5*O5),B2_NP,1)+1)-INDEX(B2_A,MATCH((D5*O5),B2_NP,1)))/(INDEX(B2_NP,MATCH((D5*O5),B2_NP,1)+1)-INDEX(B2_NP,MATCH((D5*O5),B2_NP,1))))))</f>
        <v>3.57225</v>
      </c>
      <c r="R5" s="19" t="n">
        <f aca="false">0.005*Q5*H5</f>
        <v>3.57225</v>
      </c>
    </row>
    <row r="6" customFormat="false" ht="15" hidden="false" customHeight="false" outlineLevel="0" collapsed="false">
      <c r="A6" s="9" t="s">
        <v>73</v>
      </c>
      <c r="B6" s="13" t="n">
        <f aca="false">Исходные!$B$7</f>
        <v>24</v>
      </c>
      <c r="C6" s="13" t="n">
        <f aca="false">Исходные!$B$21</f>
        <v>251</v>
      </c>
      <c r="D6" s="13" t="n">
        <f aca="false">Исходные!B22</f>
        <v>264</v>
      </c>
      <c r="E6" s="14" t="n">
        <f aca="false">Исходные!B26-Исходные!B27</f>
        <v>110</v>
      </c>
      <c r="F6" s="14" t="n">
        <f aca="false">Исходные!B28-Исходные!B29</f>
        <v>5.1</v>
      </c>
      <c r="G6" s="15" t="n">
        <f aca="false">Исходные!B32</f>
        <v>0.2</v>
      </c>
      <c r="H6" s="13" t="n">
        <f aca="false">Исходные!B33</f>
        <v>200</v>
      </c>
      <c r="I6" s="16" t="n">
        <f aca="false">E6*C6/1000</f>
        <v>27.61</v>
      </c>
      <c r="J6" s="17" t="n">
        <f aca="false">I6/B6</f>
        <v>1.15041666666667</v>
      </c>
      <c r="K6" s="18" t="n">
        <f aca="false">F6*C6/(G6*D6*3600)</f>
        <v>0.00673453282828283</v>
      </c>
      <c r="L6" s="17" t="n">
        <f aca="false">D6*K6</f>
        <v>1.77791666666667</v>
      </c>
      <c r="M6" s="17" t="n">
        <f aca="false">IF(AND(K6&gt;0.1,D6&lt;=200),((1-MIN(1,(MAX(D6,INDEX(B1_N,1))-INDEX(B1_N,MIN(MATCH(MAX(D6,INDEX(B1_N,1)),B1_N,1),ROWS(B1_N)-1)))/(INDEX(B1_N,MIN(MATCH(MAX(D6,INDEX(B1_N,1)),B1_N,1),ROWS(B1_N)-1)+1)-INDEX(B1_N,MIN(MATCH(MAX(D6,INDEX(B1_N,1)),B1_N,1),ROWS(B1_N)-1)))))*((1-MIN(1,(K6-INDEX(B1_P,1,MIN(MATCH(K6,B1_P,1),COLUMNS(B1_P)-1)))/(INDEX(B1_P,1,MIN(MATCH(K6,B1_P,1),COLUMNS(B1_P)-1)+1)-INDEX(B1_P,1,MIN(MATCH(K6,B1_P,1),COLUMNS(B1_P)-1)))))*INDEX(B1_G,MIN(MATCH(MAX(D6,INDEX(B1_N,1)),B1_N,1),ROWS(B1_N)-1),MIN(MATCH(K6,B1_P,1),COLUMNS(B1_P)-1))+MIN(1,(K6-INDEX(B1_P,1,MIN(MATCH(K6,B1_P,1),COLUMNS(B1_P)-1)))/(INDEX(B1_P,1,MIN(MATCH(K6,B1_P,1),COLUMNS(B1_P)-1)+1)-INDEX(B1_P,1,MIN(MATCH(K6,B1_P,1),COLUMNS(B1_P)-1))))*INDEX(B1_G,MIN(MATCH(MAX(D6,INDEX(B1_N,1)),B1_N,1),ROWS(B1_N)-1),MIN(MATCH(K6,B1_P,1),COLUMNS(B1_P)-1)+1))+MIN(1,(MAX(D6,INDEX(B1_N,1))-INDEX(B1_N,MIN(MATCH(MAX(D6,INDEX(B1_N,1)),B1_N,1),ROWS(B1_N)-1)))/(INDEX(B1_N,MIN(MATCH(MAX(D6,INDEX(B1_N,1)),B1_N,1),ROWS(B1_N)-1)+1)-INDEX(B1_N,MIN(MATCH(MAX(D6,INDEX(B1_N,1)),B1_N,1),ROWS(B1_N)-1))))*((1-MIN(1,(K6-INDEX(B1_P,1,MIN(MATCH(K6,B1_P,1),COLUMNS(B1_P)-1)))/(INDEX(B1_P,1,MIN(MATCH(K6,B1_P,1),COLUMNS(B1_P)-1)+1)-INDEX(B1_P,1,MIN(MATCH(K6,B1_P,1),COLUMNS(B1_P)-1)))))*INDEX(B1_G,MIN(MATCH(MAX(D6,INDEX(B1_N,1)),B1_N,1),ROWS(B1_N)-1)+1,MIN(MATCH(K6,B1_P,1),COLUMNS(B1_P)-1))+MIN(1,(K6-INDEX(B1_P,1,MIN(MATCH(K6,B1_P,1),COLUMNS(B1_P)-1)))/(INDEX(B1_P,1,MIN(MATCH(K6,B1_P,1),COLUMNS(B1_P)-1)+1)-INDEX(B1_P,1,MIN(MATCH(K6,B1_P,1),COLUMNS(B1_P)-1))))*INDEX(B1_G,MIN(MATCH(MAX(D6,INDEX(B1_N,1)),B1_N,1),ROWS(B1_N)-1)+1,MIN(MATCH(K6,B1_P,1),COLUMNS(B1_P)-1)+1))),IF((D6*K6)&lt;INDEX(B2_NP,1),0.2,IF((D6*K6)&gt;=INDEX(B2_NP,ROWS(B2_NP)),INDEX(B2_A,ROWS(B2_NP)),INDEX(B2_A,MATCH((D6*K6),B2_NP,1))+((D6*K6)-INDEX(B2_NP,MATCH((D6*K6),B2_NP,1)))*(INDEX(B2_A,MATCH((D6*K6),B2_NP,1)+1)-INDEX(B2_A,MATCH((D6*K6),B2_NP,1)))/(INDEX(B2_NP,MATCH((D6*K6),B2_NP,1)+1)-INDEX(B2_NP,MATCH((D6*K6),B2_NP,1))))))</f>
        <v>1.34028333333333</v>
      </c>
      <c r="N6" s="19" t="n">
        <f aca="false">5*G6*M6</f>
        <v>1.34028333333333</v>
      </c>
      <c r="O6" s="18" t="n">
        <f aca="false">3600*K6*G6/H6</f>
        <v>0.0242443181818182</v>
      </c>
      <c r="P6" s="17" t="n">
        <f aca="false">D6*O6</f>
        <v>6.4005</v>
      </c>
      <c r="Q6" s="17" t="n">
        <f aca="false">IF(AND(O6&gt;0.1,D6&lt;=200),((1-MIN(1,(MAX(D6,INDEX(B1_N,1))-INDEX(B1_N,MIN(MATCH(MAX(D6,INDEX(B1_N,1)),B1_N,1),ROWS(B1_N)-1)))/(INDEX(B1_N,MIN(MATCH(MAX(D6,INDEX(B1_N,1)),B1_N,1),ROWS(B1_N)-1)+1)-INDEX(B1_N,MIN(MATCH(MAX(D6,INDEX(B1_N,1)),B1_N,1),ROWS(B1_N)-1)))))*((1-MIN(1,(O6-INDEX(B1_P,1,MIN(MATCH(O6,B1_P,1),COLUMNS(B1_P)-1)))/(INDEX(B1_P,1,MIN(MATCH(O6,B1_P,1),COLUMNS(B1_P)-1)+1)-INDEX(B1_P,1,MIN(MATCH(O6,B1_P,1),COLUMNS(B1_P)-1)))))*INDEX(B1_G,MIN(MATCH(MAX(D6,INDEX(B1_N,1)),B1_N,1),ROWS(B1_N)-1),MIN(MATCH(O6,B1_P,1),COLUMNS(B1_P)-1))+MIN(1,(O6-INDEX(B1_P,1,MIN(MATCH(O6,B1_P,1),COLUMNS(B1_P)-1)))/(INDEX(B1_P,1,MIN(MATCH(O6,B1_P,1),COLUMNS(B1_P)-1)+1)-INDEX(B1_P,1,MIN(MATCH(O6,B1_P,1),COLUMNS(B1_P)-1))))*INDEX(B1_G,MIN(MATCH(MAX(D6,INDEX(B1_N,1)),B1_N,1),ROWS(B1_N)-1),MIN(MATCH(O6,B1_P,1),COLUMNS(B1_P)-1)+1))+MIN(1,(MAX(D6,INDEX(B1_N,1))-INDEX(B1_N,MIN(MATCH(MAX(D6,INDEX(B1_N,1)),B1_N,1),ROWS(B1_N)-1)))/(INDEX(B1_N,MIN(MATCH(MAX(D6,INDEX(B1_N,1)),B1_N,1),ROWS(B1_N)-1)+1)-INDEX(B1_N,MIN(MATCH(MAX(D6,INDEX(B1_N,1)),B1_N,1),ROWS(B1_N)-1))))*((1-MIN(1,(O6-INDEX(B1_P,1,MIN(MATCH(O6,B1_P,1),COLUMNS(B1_P)-1)))/(INDEX(B1_P,1,MIN(MATCH(O6,B1_P,1),COLUMNS(B1_P)-1)+1)-INDEX(B1_P,1,MIN(MATCH(O6,B1_P,1),COLUMNS(B1_P)-1)))))*INDEX(B1_G,MIN(MATCH(MAX(D6,INDEX(B1_N,1)),B1_N,1),ROWS(B1_N)-1)+1,MIN(MATCH(O6,B1_P,1),COLUMNS(B1_P)-1))+MIN(1,(O6-INDEX(B1_P,1,MIN(MATCH(O6,B1_P,1),COLUMNS(B1_P)-1)))/(INDEX(B1_P,1,MIN(MATCH(O6,B1_P,1),COLUMNS(B1_P)-1)+1)-INDEX(B1_P,1,MIN(MATCH(O6,B1_P,1),COLUMNS(B1_P)-1))))*INDEX(B1_G,MIN(MATCH(MAX(D6,INDEX(B1_N,1)),B1_N,1),ROWS(B1_N)-1)+1,MIN(MATCH(O6,B1_P,1),COLUMNS(B1_P)-1)+1))),IF((D6*O6)&lt;INDEX(B2_NP,1),0.2,IF((D6*O6)&gt;=INDEX(B2_NP,ROWS(B2_NP)),INDEX(B2_A,ROWS(B2_NP)),INDEX(B2_A,MATCH((D6*O6),B2_NP,1))+((D6*O6)-INDEX(B2_NP,MATCH((D6*O6),B2_NP,1)))*(INDEX(B2_A,MATCH((D6*O6),B2_NP,1)+1)-INDEX(B2_A,MATCH((D6*O6),B2_NP,1)))/(INDEX(B2_NP,MATCH((D6*O6),B2_NP,1)+1)-INDEX(B2_NP,MATCH((D6*O6),B2_NP,1))))))</f>
        <v>3.02116</v>
      </c>
      <c r="R6" s="19" t="n">
        <f aca="false">0.005*Q6*H6</f>
        <v>3.02116</v>
      </c>
    </row>
    <row r="9" customFormat="false" ht="15" hidden="false" customHeight="false" outlineLevel="0" collapsed="false">
      <c r="A9" s="20" t="s">
        <v>74</v>
      </c>
    </row>
    <row r="10" customFormat="false" ht="15" hidden="false" customHeight="false" outlineLevel="0" collapsed="false">
      <c r="A10" s="20" t="s">
        <v>75</v>
      </c>
    </row>
    <row r="11" customFormat="false" ht="15" hidden="false" customHeight="false" outlineLevel="0" collapsed="false">
      <c r="A11" s="20" t="s">
        <v>76</v>
      </c>
    </row>
    <row r="12" customFormat="false" ht="15" hidden="false" customHeight="false" outlineLevel="0" collapsed="false">
      <c r="A12" s="20" t="s">
        <v>77</v>
      </c>
    </row>
    <row r="13" customFormat="false" ht="15" hidden="false" customHeight="false" outlineLevel="0" collapsed="false">
      <c r="A13" s="20" t="s">
        <v>78</v>
      </c>
    </row>
    <row r="14" customFormat="false" ht="15" hidden="false" customHeight="false" outlineLevel="0" collapsed="false">
      <c r="A14" s="20" t="s">
        <v>79</v>
      </c>
    </row>
    <row r="15" customFormat="false" ht="15" hidden="false" customHeight="false" outlineLevel="0" collapsed="false">
      <c r="A15" s="2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7" min="5" style="0" width="9"/>
    <col collapsed="false" customWidth="true" hidden="false" outlineLevel="0" max="8" min="8" style="0" width="8"/>
    <col collapsed="false" customWidth="true" hidden="false" outlineLevel="0" max="13" min="9" style="0" width="9"/>
    <col collapsed="false" customWidth="true" hidden="false" outlineLevel="0" max="14" min="14" style="0" width="10"/>
  </cols>
  <sheetData>
    <row r="1" customFormat="false" ht="16.15" hidden="false" customHeight="false" outlineLevel="0" collapsed="false">
      <c r="A1" s="3" t="s">
        <v>81</v>
      </c>
    </row>
    <row r="3" customFormat="false" ht="15" hidden="false" customHeight="false" outlineLevel="0" collapsed="false">
      <c r="B3" s="4" t="s">
        <v>82</v>
      </c>
      <c r="C3" s="21" t="n">
        <f aca="false">Расходы!K6</f>
        <v>0.00673453282828283</v>
      </c>
    </row>
    <row r="4" customFormat="false" ht="15" hidden="false" customHeight="false" outlineLevel="0" collapsed="false">
      <c r="B4" s="4" t="s">
        <v>83</v>
      </c>
      <c r="C4" s="15" t="n">
        <f aca="false">Расходы!G6</f>
        <v>0.2</v>
      </c>
    </row>
    <row r="5" customFormat="false" ht="15" hidden="false" customHeight="false" outlineLevel="0" collapsed="false">
      <c r="B5" s="4" t="s">
        <v>84</v>
      </c>
      <c r="C5" s="7" t="n">
        <v>0.3</v>
      </c>
    </row>
    <row r="7" customFormat="false" ht="15" hidden="false" customHeight="false" outlineLevel="0" collapsed="false">
      <c r="A7" s="9" t="s">
        <v>85</v>
      </c>
      <c r="B7" s="9" t="s">
        <v>86</v>
      </c>
      <c r="C7" s="9" t="s">
        <v>87</v>
      </c>
      <c r="D7" s="9" t="s">
        <v>56</v>
      </c>
      <c r="E7" s="9" t="s">
        <v>64</v>
      </c>
      <c r="F7" s="9" t="s">
        <v>65</v>
      </c>
      <c r="G7" s="9" t="s">
        <v>66</v>
      </c>
      <c r="H7" s="9" t="s">
        <v>88</v>
      </c>
      <c r="I7" s="9" t="s">
        <v>89</v>
      </c>
      <c r="J7" s="9" t="s">
        <v>90</v>
      </c>
      <c r="K7" s="9" t="s">
        <v>91</v>
      </c>
      <c r="L7" s="9" t="s">
        <v>92</v>
      </c>
      <c r="M7" s="9" t="s">
        <v>93</v>
      </c>
      <c r="N7" s="9" t="s">
        <v>94</v>
      </c>
    </row>
    <row r="8" customFormat="false" ht="15" hidden="false" customHeight="false" outlineLevel="0" collapsed="false">
      <c r="A8" s="22" t="n">
        <v>1</v>
      </c>
      <c r="B8" s="8" t="s">
        <v>95</v>
      </c>
      <c r="C8" s="7" t="n">
        <v>1.65</v>
      </c>
      <c r="D8" s="5" t="n">
        <v>1</v>
      </c>
      <c r="E8" s="23" t="n">
        <f aca="false">D8*$C$3</f>
        <v>0.00673453282828283</v>
      </c>
      <c r="F8" s="17" t="n">
        <f aca="false">IF(AND($C$3&gt;0.1,D8&lt;=200),((1-MIN(1,(MAX(D8,INDEX(B1_N,1))-INDEX(B1_N,MIN(MATCH(MAX(D8,INDEX(B1_N,1)),B1_N,1),ROWS(B1_N)-1)))/(INDEX(B1_N,MIN(MATCH(MAX(D8,INDEX(B1_N,1)),B1_N,1),ROWS(B1_N)-1)+1)-INDEX(B1_N,MIN(MATCH(MAX(D8,INDEX(B1_N,1)),B1_N,1),ROWS(B1_N)-1)))))*((1-MIN(1,($C$3-INDEX(B1_P,1,MIN(MATCH($C$3,B1_P,1),COLUMNS(B1_P)-1)))/(INDEX(B1_P,1,MIN(MATCH($C$3,B1_P,1),COLUMNS(B1_P)-1)+1)-INDEX(B1_P,1,MIN(MATCH($C$3,B1_P,1),COLUMNS(B1_P)-1)))))*INDEX(B1_G,MIN(MATCH(MAX(D8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8,INDEX(B1_N,1)),B1_N,1),ROWS(B1_N)-1),MIN(MATCH($C$3,B1_P,1),COLUMNS(B1_P)-1)+1))+MIN(1,(MAX(D8,INDEX(B1_N,1))-INDEX(B1_N,MIN(MATCH(MAX(D8,INDEX(B1_N,1)),B1_N,1),ROWS(B1_N)-1)))/(INDEX(B1_N,MIN(MATCH(MAX(D8,INDEX(B1_N,1)),B1_N,1),ROWS(B1_N)-1)+1)-INDEX(B1_N,MIN(MATCH(MAX(D8,INDEX(B1_N,1)),B1_N,1),ROWS(B1_N)-1))))*((1-MIN(1,($C$3-INDEX(B1_P,1,MIN(MATCH($C$3,B1_P,1),COLUMNS(B1_P)-1)))/(INDEX(B1_P,1,MIN(MATCH($C$3,B1_P,1),COLUMNS(B1_P)-1)+1)-INDEX(B1_P,1,MIN(MATCH($C$3,B1_P,1),COLUMNS(B1_P)-1)))))*INDEX(B1_G,MIN(MATCH(MAX(D8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8,INDEX(B1_N,1)),B1_N,1),ROWS(B1_N)-1)+1,MIN(MATCH($C$3,B1_P,1),COLUMNS(B1_P)-1)+1))),IF((D8*$C$3)&lt;INDEX(B2_NP,1),0.2,IF((D8*$C$3)&gt;=INDEX(B2_NP,ROWS(B2_NP)),INDEX(B2_A,ROWS(B2_NP)),INDEX(B2_A,MATCH((D8*$C$3),B2_NP,1))+((D8*$C$3)-INDEX(B2_NP,MATCH((D8*$C$3),B2_NP,1)))*(INDEX(B2_A,MATCH((D8*$C$3),B2_NP,1)+1)-INDEX(B2_A,MATCH((D8*$C$3),B2_NP,1)))/(INDEX(B2_NP,MATCH((D8*$C$3),B2_NP,1)+1)-INDEX(B2_NP,MATCH((D8*$C$3),B2_NP,1))))))</f>
        <v>0.2</v>
      </c>
      <c r="G8" s="17" t="n">
        <f aca="false">5*$C$4*F8</f>
        <v>0.2</v>
      </c>
      <c r="H8" s="5" t="n">
        <v>15</v>
      </c>
      <c r="I8" s="24" t="n">
        <f aca="false">INDEX(VGP_DR,MATCH(H8,VGP_DN,0))</f>
        <v>14.7</v>
      </c>
      <c r="J8" s="16" t="n">
        <f aca="false">G8/1000/(PI()*(I8/1000)^2/4)</f>
        <v>1.17843449001357</v>
      </c>
      <c r="K8" s="24" t="n">
        <f aca="false">1000*IF(J8&lt;1.2,0.000912*J8^2/(I8/1000)^1.3*(1+0.867/J8)^0.3,0.00107*J8^2/(I8/1000)^1.3)</f>
        <v>360.526532619835</v>
      </c>
      <c r="L8" s="17" t="n">
        <f aca="false">K8/1000*C8</f>
        <v>0.594868778822727</v>
      </c>
      <c r="M8" s="17" t="n">
        <f aca="false">L8*(1+$C$5)</f>
        <v>0.773329412469545</v>
      </c>
      <c r="N8" s="25" t="str">
        <f aca="false">IF(AND(J8&gt;=0.3,J8&lt;=1.5),"да","нет")</f>
        <v>да</v>
      </c>
    </row>
    <row r="9" customFormat="false" ht="15" hidden="false" customHeight="false" outlineLevel="0" collapsed="false">
      <c r="A9" s="22" t="n">
        <v>2</v>
      </c>
      <c r="B9" s="8" t="s">
        <v>95</v>
      </c>
      <c r="C9" s="7" t="n">
        <v>0.95</v>
      </c>
      <c r="D9" s="5" t="n">
        <v>3</v>
      </c>
      <c r="E9" s="23" t="n">
        <f aca="false">D9*$C$3</f>
        <v>0.0202035984848485</v>
      </c>
      <c r="F9" s="17" t="n">
        <f aca="false">IF(AND($C$3&gt;0.1,D9&lt;=200),((1-MIN(1,(MAX(D9,INDEX(B1_N,1))-INDEX(B1_N,MIN(MATCH(MAX(D9,INDEX(B1_N,1)),B1_N,1),ROWS(B1_N)-1)))/(INDEX(B1_N,MIN(MATCH(MAX(D9,INDEX(B1_N,1)),B1_N,1),ROWS(B1_N)-1)+1)-INDEX(B1_N,MIN(MATCH(MAX(D9,INDEX(B1_N,1)),B1_N,1),ROWS(B1_N)-1)))))*((1-MIN(1,($C$3-INDEX(B1_P,1,MIN(MATCH($C$3,B1_P,1),COLUMNS(B1_P)-1)))/(INDEX(B1_P,1,MIN(MATCH($C$3,B1_P,1),COLUMNS(B1_P)-1)+1)-INDEX(B1_P,1,MIN(MATCH($C$3,B1_P,1),COLUMNS(B1_P)-1)))))*INDEX(B1_G,MIN(MATCH(MAX(D9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9,INDEX(B1_N,1)),B1_N,1),ROWS(B1_N)-1),MIN(MATCH($C$3,B1_P,1),COLUMNS(B1_P)-1)+1))+MIN(1,(MAX(D9,INDEX(B1_N,1))-INDEX(B1_N,MIN(MATCH(MAX(D9,INDEX(B1_N,1)),B1_N,1),ROWS(B1_N)-1)))/(INDEX(B1_N,MIN(MATCH(MAX(D9,INDEX(B1_N,1)),B1_N,1),ROWS(B1_N)-1)+1)-INDEX(B1_N,MIN(MATCH(MAX(D9,INDEX(B1_N,1)),B1_N,1),ROWS(B1_N)-1))))*((1-MIN(1,($C$3-INDEX(B1_P,1,MIN(MATCH($C$3,B1_P,1),COLUMNS(B1_P)-1)))/(INDEX(B1_P,1,MIN(MATCH($C$3,B1_P,1),COLUMNS(B1_P)-1)+1)-INDEX(B1_P,1,MIN(MATCH($C$3,B1_P,1),COLUMNS(B1_P)-1)))))*INDEX(B1_G,MIN(MATCH(MAX(D9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9,INDEX(B1_N,1)),B1_N,1),ROWS(B1_N)-1)+1,MIN(MATCH($C$3,B1_P,1),COLUMNS(B1_P)-1)+1))),IF((D9*$C$3)&lt;INDEX(B2_NP,1),0.2,IF((D9*$C$3)&gt;=INDEX(B2_NP,ROWS(B2_NP)),INDEX(B2_A,ROWS(B2_NP)),INDEX(B2_A,MATCH((D9*$C$3),B2_NP,1))+((D9*$C$3)-INDEX(B2_NP,MATCH((D9*$C$3),B2_NP,1)))*(INDEX(B2_A,MATCH((D9*$C$3),B2_NP,1)+1)-INDEX(B2_A,MATCH((D9*$C$3),B2_NP,1)))/(INDEX(B2_NP,MATCH((D9*$C$3),B2_NP,1)+1)-INDEX(B2_NP,MATCH((D9*$C$3),B2_NP,1))))))</f>
        <v>0.215407196969697</v>
      </c>
      <c r="G9" s="17" t="n">
        <f aca="false">5*$C$4*F9</f>
        <v>0.215407196969697</v>
      </c>
      <c r="H9" s="5" t="n">
        <v>15</v>
      </c>
      <c r="I9" s="24" t="n">
        <f aca="false">INDEX(VGP_DR,MATCH(H9,VGP_DN,0))</f>
        <v>14.7</v>
      </c>
      <c r="J9" s="16" t="n">
        <f aca="false">G9/1000/(PI()*(I9/1000)^2/4)</f>
        <v>1.26921635153119</v>
      </c>
      <c r="K9" s="24" t="n">
        <f aca="false">1000*IF(J9&lt;1.2,0.000912*J9^2/(I9/1000)^1.3*(1+0.867/J9)^0.3,0.00107*J9^2/(I9/1000)^1.3)</f>
        <v>415.855605228951</v>
      </c>
      <c r="L9" s="17" t="n">
        <f aca="false">K9/1000*C9</f>
        <v>0.395062824967503</v>
      </c>
      <c r="M9" s="17" t="n">
        <f aca="false">L9*(1+$C$5)</f>
        <v>0.513581672457754</v>
      </c>
      <c r="N9" s="25" t="str">
        <f aca="false">IF(AND(J9&gt;=0.3,J9&lt;=1.5),"да","нет")</f>
        <v>да</v>
      </c>
    </row>
    <row r="10" customFormat="false" ht="15" hidden="false" customHeight="false" outlineLevel="0" collapsed="false">
      <c r="A10" s="22" t="n">
        <v>3</v>
      </c>
      <c r="B10" s="8" t="s">
        <v>95</v>
      </c>
      <c r="C10" s="7" t="n">
        <v>1.2</v>
      </c>
      <c r="D10" s="5" t="n">
        <v>4</v>
      </c>
      <c r="E10" s="23" t="n">
        <f aca="false">D10*$C$3</f>
        <v>0.0269381313131313</v>
      </c>
      <c r="F10" s="17" t="n">
        <f aca="false">IF(AND($C$3&gt;0.1,D10&lt;=200),((1-MIN(1,(MAX(D10,INDEX(B1_N,1))-INDEX(B1_N,MIN(MATCH(MAX(D10,INDEX(B1_N,1)),B1_N,1),ROWS(B1_N)-1)))/(INDEX(B1_N,MIN(MATCH(MAX(D10,INDEX(B1_N,1)),B1_N,1),ROWS(B1_N)-1)+1)-INDEX(B1_N,MIN(MATCH(MAX(D10,INDEX(B1_N,1)),B1_N,1),ROWS(B1_N)-1)))))*((1-MIN(1,($C$3-INDEX(B1_P,1,MIN(MATCH($C$3,B1_P,1),COLUMNS(B1_P)-1)))/(INDEX(B1_P,1,MIN(MATCH($C$3,B1_P,1),COLUMNS(B1_P)-1)+1)-INDEX(B1_P,1,MIN(MATCH($C$3,B1_P,1),COLUMNS(B1_P)-1)))))*INDEX(B1_G,MIN(MATCH(MAX(D10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10,INDEX(B1_N,1)),B1_N,1),ROWS(B1_N)-1),MIN(MATCH($C$3,B1_P,1),COLUMNS(B1_P)-1)+1))+MIN(1,(MAX(D10,INDEX(B1_N,1))-INDEX(B1_N,MIN(MATCH(MAX(D10,INDEX(B1_N,1)),B1_N,1),ROWS(B1_N)-1)))/(INDEX(B1_N,MIN(MATCH(MAX(D10,INDEX(B1_N,1)),B1_N,1),ROWS(B1_N)-1)+1)-INDEX(B1_N,MIN(MATCH(MAX(D10,INDEX(B1_N,1)),B1_N,1),ROWS(B1_N)-1))))*((1-MIN(1,($C$3-INDEX(B1_P,1,MIN(MATCH($C$3,B1_P,1),COLUMNS(B1_P)-1)))/(INDEX(B1_P,1,MIN(MATCH($C$3,B1_P,1),COLUMNS(B1_P)-1)+1)-INDEX(B1_P,1,MIN(MATCH($C$3,B1_P,1),COLUMNS(B1_P)-1)))))*INDEX(B1_G,MIN(MATCH(MAX(D10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10,INDEX(B1_N,1)),B1_N,1),ROWS(B1_N)-1)+1,MIN(MATCH($C$3,B1_P,1),COLUMNS(B1_P)-1)+1))),IF((D10*$C$3)&lt;INDEX(B2_NP,1),0.2,IF((D10*$C$3)&gt;=INDEX(B2_NP,ROWS(B2_NP)),INDEX(B2_A,ROWS(B2_NP)),INDEX(B2_A,MATCH((D10*$C$3),B2_NP,1))+((D10*$C$3)-INDEX(B2_NP,MATCH((D10*$C$3),B2_NP,1)))*(INDEX(B2_A,MATCH((D10*$C$3),B2_NP,1)+1)-INDEX(B2_A,MATCH((D10*$C$3),B2_NP,1)))/(INDEX(B2_NP,MATCH((D10*$C$3),B2_NP,1)+1)-INDEX(B2_NP,MATCH((D10*$C$3),B2_NP,1))))))</f>
        <v>0.229876262626263</v>
      </c>
      <c r="G10" s="17" t="n">
        <f aca="false">5*$C$4*F10</f>
        <v>0.229876262626263</v>
      </c>
      <c r="H10" s="5" t="n">
        <v>15</v>
      </c>
      <c r="I10" s="24" t="n">
        <f aca="false">INDEX(VGP_DR,MATCH(H10,VGP_DN,0))</f>
        <v>14.7</v>
      </c>
      <c r="J10" s="16" t="n">
        <f aca="false">G10/1000/(PI()*(I10/1000)^2/4)</f>
        <v>1.35447058157103</v>
      </c>
      <c r="K10" s="24" t="n">
        <f aca="false">1000*IF(J10&lt;1.2,0.000912*J10^2/(I10/1000)^1.3*(1+0.867/J10)^0.3,0.00107*J10^2/(I10/1000)^1.3)</f>
        <v>473.598584985154</v>
      </c>
      <c r="L10" s="17" t="n">
        <f aca="false">K10/1000*C10</f>
        <v>0.568318301982185</v>
      </c>
      <c r="M10" s="17" t="n">
        <f aca="false">L10*(1+$C$5)</f>
        <v>0.738813792576841</v>
      </c>
      <c r="N10" s="25" t="str">
        <f aca="false">IF(AND(J10&gt;=0.3,J10&lt;=1.5),"да","нет")</f>
        <v>да</v>
      </c>
    </row>
    <row r="11" customFormat="false" ht="15" hidden="false" customHeight="false" outlineLevel="0" collapsed="false">
      <c r="A11" s="22" t="n">
        <v>4</v>
      </c>
      <c r="B11" s="8" t="s">
        <v>96</v>
      </c>
      <c r="C11" s="7" t="n">
        <v>3.2</v>
      </c>
      <c r="D11" s="5" t="n">
        <v>8</v>
      </c>
      <c r="E11" s="23" t="n">
        <f aca="false">D11*$C$3</f>
        <v>0.0538762626262626</v>
      </c>
      <c r="F11" s="17" t="n">
        <f aca="false">IF(AND($C$3&gt;0.1,D11&lt;=200),((1-MIN(1,(MAX(D11,INDEX(B1_N,1))-INDEX(B1_N,MIN(MATCH(MAX(D11,INDEX(B1_N,1)),B1_N,1),ROWS(B1_N)-1)))/(INDEX(B1_N,MIN(MATCH(MAX(D11,INDEX(B1_N,1)),B1_N,1),ROWS(B1_N)-1)+1)-INDEX(B1_N,MIN(MATCH(MAX(D11,INDEX(B1_N,1)),B1_N,1),ROWS(B1_N)-1)))))*((1-MIN(1,($C$3-INDEX(B1_P,1,MIN(MATCH($C$3,B1_P,1),COLUMNS(B1_P)-1)))/(INDEX(B1_P,1,MIN(MATCH($C$3,B1_P,1),COLUMNS(B1_P)-1)+1)-INDEX(B1_P,1,MIN(MATCH($C$3,B1_P,1),COLUMNS(B1_P)-1)))))*INDEX(B1_G,MIN(MATCH(MAX(D11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11,INDEX(B1_N,1)),B1_N,1),ROWS(B1_N)-1),MIN(MATCH($C$3,B1_P,1),COLUMNS(B1_P)-1)+1))+MIN(1,(MAX(D11,INDEX(B1_N,1))-INDEX(B1_N,MIN(MATCH(MAX(D11,INDEX(B1_N,1)),B1_N,1),ROWS(B1_N)-1)))/(INDEX(B1_N,MIN(MATCH(MAX(D11,INDEX(B1_N,1)),B1_N,1),ROWS(B1_N)-1)+1)-INDEX(B1_N,MIN(MATCH(MAX(D11,INDEX(B1_N,1)),B1_N,1),ROWS(B1_N)-1))))*((1-MIN(1,($C$3-INDEX(B1_P,1,MIN(MATCH($C$3,B1_P,1),COLUMNS(B1_P)-1)))/(INDEX(B1_P,1,MIN(MATCH($C$3,B1_P,1),COLUMNS(B1_P)-1)+1)-INDEX(B1_P,1,MIN(MATCH($C$3,B1_P,1),COLUMNS(B1_P)-1)))))*INDEX(B1_G,MIN(MATCH(MAX(D11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11,INDEX(B1_N,1)),B1_N,1),ROWS(B1_N)-1)+1,MIN(MATCH($C$3,B1_P,1),COLUMNS(B1_P)-1)+1))),IF((D11*$C$3)&lt;INDEX(B2_NP,1),0.2,IF((D11*$C$3)&gt;=INDEX(B2_NP,ROWS(B2_NP)),INDEX(B2_A,ROWS(B2_NP)),INDEX(B2_A,MATCH((D11*$C$3),B2_NP,1))+((D11*$C$3)-INDEX(B2_NP,MATCH((D11*$C$3),B2_NP,1)))*(INDEX(B2_A,MATCH((D11*$C$3),B2_NP,1)+1)-INDEX(B2_A,MATCH((D11*$C$3),B2_NP,1)))/(INDEX(B2_NP,MATCH((D11*$C$3),B2_NP,1)+1)-INDEX(B2_NP,MATCH((D11*$C$3),B2_NP,1))))))</f>
        <v>0.279752525252525</v>
      </c>
      <c r="G11" s="17" t="n">
        <f aca="false">5*$C$4*F11</f>
        <v>0.279752525252525</v>
      </c>
      <c r="H11" s="5" t="n">
        <v>25</v>
      </c>
      <c r="I11" s="24" t="n">
        <f aca="false">INDEX(VGP_DR,MATCH(H11,VGP_DN,0))</f>
        <v>26.1</v>
      </c>
      <c r="J11" s="16" t="n">
        <f aca="false">G11/1000/(PI()*(I11/1000)^2/4)</f>
        <v>0.522881311036299</v>
      </c>
      <c r="K11" s="24" t="n">
        <f aca="false">1000*IF(J11&lt;1.2,0.000912*J11^2/(I11/1000)^1.3*(1+0.867/J11)^0.3,0.00107*J11^2/(I11/1000)^1.3)</f>
        <v>38.2420175449863</v>
      </c>
      <c r="L11" s="17" t="n">
        <f aca="false">K11/1000*C11</f>
        <v>0.122374456143956</v>
      </c>
      <c r="M11" s="17" t="n">
        <f aca="false">L11*(1+$C$5)</f>
        <v>0.159086792987143</v>
      </c>
      <c r="N11" s="25" t="str">
        <f aca="false">IF(AND(J11&gt;=0.3,J11&lt;=1.2),"да","нет")</f>
        <v>да</v>
      </c>
    </row>
    <row r="12" customFormat="false" ht="15" hidden="false" customHeight="false" outlineLevel="0" collapsed="false">
      <c r="A12" s="22" t="n">
        <v>5</v>
      </c>
      <c r="B12" s="8" t="s">
        <v>97</v>
      </c>
      <c r="C12" s="7" t="n">
        <v>3.2</v>
      </c>
      <c r="D12" s="5" t="n">
        <v>16</v>
      </c>
      <c r="E12" s="23" t="n">
        <f aca="false">D12*$C$3</f>
        <v>0.107752525252525</v>
      </c>
      <c r="F12" s="17" t="n">
        <f aca="false">IF(AND($C$3&gt;0.1,D12&lt;=200),((1-MIN(1,(MAX(D12,INDEX(B1_N,1))-INDEX(B1_N,MIN(MATCH(MAX(D12,INDEX(B1_N,1)),B1_N,1),ROWS(B1_N)-1)))/(INDEX(B1_N,MIN(MATCH(MAX(D12,INDEX(B1_N,1)),B1_N,1),ROWS(B1_N)-1)+1)-INDEX(B1_N,MIN(MATCH(MAX(D12,INDEX(B1_N,1)),B1_N,1),ROWS(B1_N)-1)))))*((1-MIN(1,($C$3-INDEX(B1_P,1,MIN(MATCH($C$3,B1_P,1),COLUMNS(B1_P)-1)))/(INDEX(B1_P,1,MIN(MATCH($C$3,B1_P,1),COLUMNS(B1_P)-1)+1)-INDEX(B1_P,1,MIN(MATCH($C$3,B1_P,1),COLUMNS(B1_P)-1)))))*INDEX(B1_G,MIN(MATCH(MAX(D12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12,INDEX(B1_N,1)),B1_N,1),ROWS(B1_N)-1),MIN(MATCH($C$3,B1_P,1),COLUMNS(B1_P)-1)+1))+MIN(1,(MAX(D12,INDEX(B1_N,1))-INDEX(B1_N,MIN(MATCH(MAX(D12,INDEX(B1_N,1)),B1_N,1),ROWS(B1_N)-1)))/(INDEX(B1_N,MIN(MATCH(MAX(D12,INDEX(B1_N,1)),B1_N,1),ROWS(B1_N)-1)+1)-INDEX(B1_N,MIN(MATCH(MAX(D12,INDEX(B1_N,1)),B1_N,1),ROWS(B1_N)-1))))*((1-MIN(1,($C$3-INDEX(B1_P,1,MIN(MATCH($C$3,B1_P,1),COLUMNS(B1_P)-1)))/(INDEX(B1_P,1,MIN(MATCH($C$3,B1_P,1),COLUMNS(B1_P)-1)+1)-INDEX(B1_P,1,MIN(MATCH($C$3,B1_P,1),COLUMNS(B1_P)-1)))))*INDEX(B1_G,MIN(MATCH(MAX(D12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12,INDEX(B1_N,1)),B1_N,1),ROWS(B1_N)-1)+1,MIN(MATCH($C$3,B1_P,1),COLUMNS(B1_P)-1)+1))),IF((D12*$C$3)&lt;INDEX(B2_NP,1),0.2,IF((D12*$C$3)&gt;=INDEX(B2_NP,ROWS(B2_NP)),INDEX(B2_A,ROWS(B2_NP)),INDEX(B2_A,MATCH((D12*$C$3),B2_NP,1))+((D12*$C$3)-INDEX(B2_NP,MATCH((D12*$C$3),B2_NP,1)))*(INDEX(B2_A,MATCH((D12*$C$3),B2_NP,1)+1)-INDEX(B2_A,MATCH((D12*$C$3),B2_NP,1)))/(INDEX(B2_NP,MATCH((D12*$C$3),B2_NP,1)+1)-INDEX(B2_NP,MATCH((D12*$C$3),B2_NP,1))))))</f>
        <v>0.35230303030303</v>
      </c>
      <c r="G12" s="17" t="n">
        <f aca="false">5*$C$4*F12</f>
        <v>0.35230303030303</v>
      </c>
      <c r="H12" s="5" t="n">
        <v>25</v>
      </c>
      <c r="I12" s="24" t="n">
        <f aca="false">INDEX(VGP_DR,MATCH(H12,VGP_DN,0))</f>
        <v>26.1</v>
      </c>
      <c r="J12" s="16" t="n">
        <f aca="false">G12/1000/(PI()*(I12/1000)^2/4)</f>
        <v>0.658484387944758</v>
      </c>
      <c r="K12" s="24" t="n">
        <f aca="false">1000*IF(J12&lt;1.2,0.000912*J12^2/(I12/1000)^1.3*(1+0.867/J12)^0.3,0.00107*J12^2/(I12/1000)^1.3)</f>
        <v>58.1985051241034</v>
      </c>
      <c r="L12" s="17" t="n">
        <f aca="false">K12/1000*C12</f>
        <v>0.186235216397131</v>
      </c>
      <c r="M12" s="17" t="n">
        <f aca="false">L12*(1+$C$5)</f>
        <v>0.24210578131627</v>
      </c>
      <c r="N12" s="25" t="str">
        <f aca="false">IF(AND(J12&gt;=0.3,J12&lt;=1.2),"да","нет")</f>
        <v>да</v>
      </c>
    </row>
    <row r="13" customFormat="false" ht="15" hidden="false" customHeight="false" outlineLevel="0" collapsed="false">
      <c r="A13" s="22" t="n">
        <v>6</v>
      </c>
      <c r="B13" s="8" t="s">
        <v>98</v>
      </c>
      <c r="C13" s="7" t="n">
        <v>3.2</v>
      </c>
      <c r="D13" s="5" t="n">
        <v>24</v>
      </c>
      <c r="E13" s="23" t="n">
        <f aca="false">D13*$C$3</f>
        <v>0.161628787878788</v>
      </c>
      <c r="F13" s="17" t="n">
        <f aca="false">IF(AND($C$3&gt;0.1,D13&lt;=200),((1-MIN(1,(MAX(D13,INDEX(B1_N,1))-INDEX(B1_N,MIN(MATCH(MAX(D13,INDEX(B1_N,1)),B1_N,1),ROWS(B1_N)-1)))/(INDEX(B1_N,MIN(MATCH(MAX(D13,INDEX(B1_N,1)),B1_N,1),ROWS(B1_N)-1)+1)-INDEX(B1_N,MIN(MATCH(MAX(D13,INDEX(B1_N,1)),B1_N,1),ROWS(B1_N)-1)))))*((1-MIN(1,($C$3-INDEX(B1_P,1,MIN(MATCH($C$3,B1_P,1),COLUMNS(B1_P)-1)))/(INDEX(B1_P,1,MIN(MATCH($C$3,B1_P,1),COLUMNS(B1_P)-1)+1)-INDEX(B1_P,1,MIN(MATCH($C$3,B1_P,1),COLUMNS(B1_P)-1)))))*INDEX(B1_G,MIN(MATCH(MAX(D13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13,INDEX(B1_N,1)),B1_N,1),ROWS(B1_N)-1),MIN(MATCH($C$3,B1_P,1),COLUMNS(B1_P)-1)+1))+MIN(1,(MAX(D13,INDEX(B1_N,1))-INDEX(B1_N,MIN(MATCH(MAX(D13,INDEX(B1_N,1)),B1_N,1),ROWS(B1_N)-1)))/(INDEX(B1_N,MIN(MATCH(MAX(D13,INDEX(B1_N,1)),B1_N,1),ROWS(B1_N)-1)+1)-INDEX(B1_N,MIN(MATCH(MAX(D13,INDEX(B1_N,1)),B1_N,1),ROWS(B1_N)-1))))*((1-MIN(1,($C$3-INDEX(B1_P,1,MIN(MATCH($C$3,B1_P,1),COLUMNS(B1_P)-1)))/(INDEX(B1_P,1,MIN(MATCH($C$3,B1_P,1),COLUMNS(B1_P)-1)+1)-INDEX(B1_P,1,MIN(MATCH($C$3,B1_P,1),COLUMNS(B1_P)-1)))))*INDEX(B1_G,MIN(MATCH(MAX(D13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13,INDEX(B1_N,1)),B1_N,1),ROWS(B1_N)-1)+1,MIN(MATCH($C$3,B1_P,1),COLUMNS(B1_P)-1)+1))),IF((D13*$C$3)&lt;INDEX(B2_NP,1),0.2,IF((D13*$C$3)&gt;=INDEX(B2_NP,ROWS(B2_NP)),INDEX(B2_A,ROWS(B2_NP)),INDEX(B2_A,MATCH((D13*$C$3),B2_NP,1))+((D13*$C$3)-INDEX(B2_NP,MATCH((D13*$C$3),B2_NP,1)))*(INDEX(B2_A,MATCH((D13*$C$3),B2_NP,1)+1)-INDEX(B2_A,MATCH((D13*$C$3),B2_NP,1)))/(INDEX(B2_NP,MATCH((D13*$C$3),B2_NP,1)+1)-INDEX(B2_NP,MATCH((D13*$C$3),B2_NP,1))))))</f>
        <v>0.411628787878788</v>
      </c>
      <c r="G13" s="17" t="n">
        <f aca="false">5*$C$4*F13</f>
        <v>0.411628787878788</v>
      </c>
      <c r="H13" s="5" t="n">
        <v>25</v>
      </c>
      <c r="I13" s="24" t="n">
        <f aca="false">INDEX(VGP_DR,MATCH(H13,VGP_DN,0))</f>
        <v>26.1</v>
      </c>
      <c r="J13" s="16" t="n">
        <f aca="false">G13/1000/(PI()*(I13/1000)^2/4)</f>
        <v>0.769369284770738</v>
      </c>
      <c r="K13" s="24" t="n">
        <f aca="false">1000*IF(J13&lt;1.2,0.000912*J13^2/(I13/1000)^1.3*(1+0.867/J13)^0.3,0.00107*J13^2/(I13/1000)^1.3)</f>
        <v>77.4382998569698</v>
      </c>
      <c r="L13" s="17" t="n">
        <f aca="false">K13/1000*C13</f>
        <v>0.247802559542303</v>
      </c>
      <c r="M13" s="17" t="n">
        <f aca="false">L13*(1+$C$5)</f>
        <v>0.322143327404994</v>
      </c>
      <c r="N13" s="25" t="str">
        <f aca="false">IF(AND(J13&gt;=0.3,J13&lt;=1.2),"да","нет")</f>
        <v>да</v>
      </c>
    </row>
    <row r="14" customFormat="false" ht="15" hidden="false" customHeight="false" outlineLevel="0" collapsed="false">
      <c r="A14" s="22" t="n">
        <v>7</v>
      </c>
      <c r="B14" s="8" t="s">
        <v>99</v>
      </c>
      <c r="C14" s="7" t="n">
        <v>3.2</v>
      </c>
      <c r="D14" s="5" t="n">
        <v>32</v>
      </c>
      <c r="E14" s="23" t="n">
        <f aca="false">D14*$C$3</f>
        <v>0.21550505050505</v>
      </c>
      <c r="F14" s="17" t="n">
        <f aca="false">IF(AND($C$3&gt;0.1,D14&lt;=200),((1-MIN(1,(MAX(D14,INDEX(B1_N,1))-INDEX(B1_N,MIN(MATCH(MAX(D14,INDEX(B1_N,1)),B1_N,1),ROWS(B1_N)-1)))/(INDEX(B1_N,MIN(MATCH(MAX(D14,INDEX(B1_N,1)),B1_N,1),ROWS(B1_N)-1)+1)-INDEX(B1_N,MIN(MATCH(MAX(D14,INDEX(B1_N,1)),B1_N,1),ROWS(B1_N)-1)))))*((1-MIN(1,($C$3-INDEX(B1_P,1,MIN(MATCH($C$3,B1_P,1),COLUMNS(B1_P)-1)))/(INDEX(B1_P,1,MIN(MATCH($C$3,B1_P,1),COLUMNS(B1_P)-1)+1)-INDEX(B1_P,1,MIN(MATCH($C$3,B1_P,1),COLUMNS(B1_P)-1)))))*INDEX(B1_G,MIN(MATCH(MAX(D14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14,INDEX(B1_N,1)),B1_N,1),ROWS(B1_N)-1),MIN(MATCH($C$3,B1_P,1),COLUMNS(B1_P)-1)+1))+MIN(1,(MAX(D14,INDEX(B1_N,1))-INDEX(B1_N,MIN(MATCH(MAX(D14,INDEX(B1_N,1)),B1_N,1),ROWS(B1_N)-1)))/(INDEX(B1_N,MIN(MATCH(MAX(D14,INDEX(B1_N,1)),B1_N,1),ROWS(B1_N)-1)+1)-INDEX(B1_N,MIN(MATCH(MAX(D14,INDEX(B1_N,1)),B1_N,1),ROWS(B1_N)-1))))*((1-MIN(1,($C$3-INDEX(B1_P,1,MIN(MATCH($C$3,B1_P,1),COLUMNS(B1_P)-1)))/(INDEX(B1_P,1,MIN(MATCH($C$3,B1_P,1),COLUMNS(B1_P)-1)+1)-INDEX(B1_P,1,MIN(MATCH($C$3,B1_P,1),COLUMNS(B1_P)-1)))))*INDEX(B1_G,MIN(MATCH(MAX(D14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14,INDEX(B1_N,1)),B1_N,1),ROWS(B1_N)-1)+1,MIN(MATCH($C$3,B1_P,1),COLUMNS(B1_P)-1)+1))),IF((D14*$C$3)&lt;INDEX(B2_NP,1),0.2,IF((D14*$C$3)&gt;=INDEX(B2_NP,ROWS(B2_NP)),INDEX(B2_A,ROWS(B2_NP)),INDEX(B2_A,MATCH((D14*$C$3),B2_NP,1))+((D14*$C$3)-INDEX(B2_NP,MATCH((D14*$C$3),B2_NP,1)))*(INDEX(B2_A,MATCH((D14*$C$3),B2_NP,1)+1)-INDEX(B2_A,MATCH((D14*$C$3),B2_NP,1)))/(INDEX(B2_NP,MATCH((D14*$C$3),B2_NP,1)+1)-INDEX(B2_NP,MATCH((D14*$C$3),B2_NP,1))))))</f>
        <v>0.462954545454545</v>
      </c>
      <c r="G14" s="17" t="n">
        <f aca="false">5*$C$4*F14</f>
        <v>0.462954545454545</v>
      </c>
      <c r="H14" s="5" t="n">
        <v>25</v>
      </c>
      <c r="I14" s="24" t="n">
        <f aca="false">INDEX(VGP_DR,MATCH(H14,VGP_DN,0))</f>
        <v>26.1</v>
      </c>
      <c r="J14" s="16" t="n">
        <f aca="false">G14/1000/(PI()*(I14/1000)^2/4)</f>
        <v>0.865301499813009</v>
      </c>
      <c r="K14" s="24" t="n">
        <f aca="false">1000*IF(J14&lt;1.2,0.000912*J14^2/(I14/1000)^1.3*(1+0.867/J14)^0.3,0.00107*J14^2/(I14/1000)^1.3)</f>
        <v>96.1908802928365</v>
      </c>
      <c r="L14" s="17" t="n">
        <f aca="false">K14/1000*C14</f>
        <v>0.307810816937077</v>
      </c>
      <c r="M14" s="17" t="n">
        <f aca="false">L14*(1+$C$5)</f>
        <v>0.4001540620182</v>
      </c>
      <c r="N14" s="25" t="str">
        <f aca="false">IF(AND(J14&gt;=0.3,J14&lt;=1.2),"да","нет")</f>
        <v>да</v>
      </c>
    </row>
    <row r="15" customFormat="false" ht="15" hidden="false" customHeight="false" outlineLevel="0" collapsed="false">
      <c r="A15" s="22" t="n">
        <v>8</v>
      </c>
      <c r="B15" s="8" t="s">
        <v>100</v>
      </c>
      <c r="C15" s="7" t="n">
        <v>3.2</v>
      </c>
      <c r="D15" s="5" t="n">
        <v>40</v>
      </c>
      <c r="E15" s="23" t="n">
        <f aca="false">D15*$C$3</f>
        <v>0.269381313131313</v>
      </c>
      <c r="F15" s="17" t="n">
        <f aca="false">IF(AND($C$3&gt;0.1,D15&lt;=200),((1-MIN(1,(MAX(D15,INDEX(B1_N,1))-INDEX(B1_N,MIN(MATCH(MAX(D15,INDEX(B1_N,1)),B1_N,1),ROWS(B1_N)-1)))/(INDEX(B1_N,MIN(MATCH(MAX(D15,INDEX(B1_N,1)),B1_N,1),ROWS(B1_N)-1)+1)-INDEX(B1_N,MIN(MATCH(MAX(D15,INDEX(B1_N,1)),B1_N,1),ROWS(B1_N)-1)))))*((1-MIN(1,($C$3-INDEX(B1_P,1,MIN(MATCH($C$3,B1_P,1),COLUMNS(B1_P)-1)))/(INDEX(B1_P,1,MIN(MATCH($C$3,B1_P,1),COLUMNS(B1_P)-1)+1)-INDEX(B1_P,1,MIN(MATCH($C$3,B1_P,1),COLUMNS(B1_P)-1)))))*INDEX(B1_G,MIN(MATCH(MAX(D15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15,INDEX(B1_N,1)),B1_N,1),ROWS(B1_N)-1),MIN(MATCH($C$3,B1_P,1),COLUMNS(B1_P)-1)+1))+MIN(1,(MAX(D15,INDEX(B1_N,1))-INDEX(B1_N,MIN(MATCH(MAX(D15,INDEX(B1_N,1)),B1_N,1),ROWS(B1_N)-1)))/(INDEX(B1_N,MIN(MATCH(MAX(D15,INDEX(B1_N,1)),B1_N,1),ROWS(B1_N)-1)+1)-INDEX(B1_N,MIN(MATCH(MAX(D15,INDEX(B1_N,1)),B1_N,1),ROWS(B1_N)-1))))*((1-MIN(1,($C$3-INDEX(B1_P,1,MIN(MATCH($C$3,B1_P,1),COLUMNS(B1_P)-1)))/(INDEX(B1_P,1,MIN(MATCH($C$3,B1_P,1),COLUMNS(B1_P)-1)+1)-INDEX(B1_P,1,MIN(MATCH($C$3,B1_P,1),COLUMNS(B1_P)-1)))))*INDEX(B1_G,MIN(MATCH(MAX(D15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15,INDEX(B1_N,1)),B1_N,1),ROWS(B1_N)-1)+1,MIN(MATCH($C$3,B1_P,1),COLUMNS(B1_P)-1)+1))),IF((D15*$C$3)&lt;INDEX(B2_NP,1),0.2,IF((D15*$C$3)&gt;=INDEX(B2_NP,ROWS(B2_NP)),INDEX(B2_A,ROWS(B2_NP)),INDEX(B2_A,MATCH((D15*$C$3),B2_NP,1))+((D15*$C$3)-INDEX(B2_NP,MATCH((D15*$C$3),B2_NP,1)))*(INDEX(B2_A,MATCH((D15*$C$3),B2_NP,1)+1)-INDEX(B2_A,MATCH((D15*$C$3),B2_NP,1)))/(INDEX(B2_NP,MATCH((D15*$C$3),B2_NP,1)+1)-INDEX(B2_NP,MATCH((D15*$C$3),B2_NP,1))))))</f>
        <v>0.509505050505051</v>
      </c>
      <c r="G15" s="17" t="n">
        <f aca="false">5*$C$4*F15</f>
        <v>0.509505050505051</v>
      </c>
      <c r="H15" s="5" t="n">
        <v>25</v>
      </c>
      <c r="I15" s="24" t="n">
        <f aca="false">INDEX(VGP_DR,MATCH(H15,VGP_DN,0))</f>
        <v>26.1</v>
      </c>
      <c r="J15" s="16" t="n">
        <f aca="false">G15/1000/(PI()*(I15/1000)^2/4)</f>
        <v>0.952308360924409</v>
      </c>
      <c r="K15" s="24" t="n">
        <f aca="false">1000*IF(J15&lt;1.2,0.000912*J15^2/(I15/1000)^1.3*(1+0.867/J15)^0.3,0.00107*J15^2/(I15/1000)^1.3)</f>
        <v>114.883058408587</v>
      </c>
      <c r="L15" s="17" t="n">
        <f aca="false">K15/1000*C15</f>
        <v>0.367625786907478</v>
      </c>
      <c r="M15" s="17" t="n">
        <f aca="false">L15*(1+$C$5)</f>
        <v>0.477913522979721</v>
      </c>
      <c r="N15" s="25" t="str">
        <f aca="false">IF(AND(J15&gt;=0.3,J15&lt;=1.2),"да","нет")</f>
        <v>да</v>
      </c>
    </row>
    <row r="16" customFormat="false" ht="15" hidden="false" customHeight="false" outlineLevel="0" collapsed="false">
      <c r="A16" s="22" t="n">
        <v>9</v>
      </c>
      <c r="B16" s="8" t="s">
        <v>101</v>
      </c>
      <c r="C16" s="7" t="n">
        <v>3.2</v>
      </c>
      <c r="D16" s="5" t="n">
        <v>48</v>
      </c>
      <c r="E16" s="23" t="n">
        <f aca="false">D16*$C$3</f>
        <v>0.323257575757576</v>
      </c>
      <c r="F16" s="17" t="n">
        <f aca="false">IF(AND($C$3&gt;0.1,D16&lt;=200),((1-MIN(1,(MAX(D16,INDEX(B1_N,1))-INDEX(B1_N,MIN(MATCH(MAX(D16,INDEX(B1_N,1)),B1_N,1),ROWS(B1_N)-1)))/(INDEX(B1_N,MIN(MATCH(MAX(D16,INDEX(B1_N,1)),B1_N,1),ROWS(B1_N)-1)+1)-INDEX(B1_N,MIN(MATCH(MAX(D16,INDEX(B1_N,1)),B1_N,1),ROWS(B1_N)-1)))))*((1-MIN(1,($C$3-INDEX(B1_P,1,MIN(MATCH($C$3,B1_P,1),COLUMNS(B1_P)-1)))/(INDEX(B1_P,1,MIN(MATCH($C$3,B1_P,1),COLUMNS(B1_P)-1)+1)-INDEX(B1_P,1,MIN(MATCH($C$3,B1_P,1),COLUMNS(B1_P)-1)))))*INDEX(B1_G,MIN(MATCH(MAX(D16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16,INDEX(B1_N,1)),B1_N,1),ROWS(B1_N)-1),MIN(MATCH($C$3,B1_P,1),COLUMNS(B1_P)-1)+1))+MIN(1,(MAX(D16,INDEX(B1_N,1))-INDEX(B1_N,MIN(MATCH(MAX(D16,INDEX(B1_N,1)),B1_N,1),ROWS(B1_N)-1)))/(INDEX(B1_N,MIN(MATCH(MAX(D16,INDEX(B1_N,1)),B1_N,1),ROWS(B1_N)-1)+1)-INDEX(B1_N,MIN(MATCH(MAX(D16,INDEX(B1_N,1)),B1_N,1),ROWS(B1_N)-1))))*((1-MIN(1,($C$3-INDEX(B1_P,1,MIN(MATCH($C$3,B1_P,1),COLUMNS(B1_P)-1)))/(INDEX(B1_P,1,MIN(MATCH($C$3,B1_P,1),COLUMNS(B1_P)-1)+1)-INDEX(B1_P,1,MIN(MATCH($C$3,B1_P,1),COLUMNS(B1_P)-1)))))*INDEX(B1_G,MIN(MATCH(MAX(D16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16,INDEX(B1_N,1)),B1_N,1),ROWS(B1_N)-1)+1,MIN(MATCH($C$3,B1_P,1),COLUMNS(B1_P)-1)+1))),IF((D16*$C$3)&lt;INDEX(B2_NP,1),0.2,IF((D16*$C$3)&gt;=INDEX(B2_NP,ROWS(B2_NP)),INDEX(B2_A,ROWS(B2_NP)),INDEX(B2_A,MATCH((D16*$C$3),B2_NP,1))+((D16*$C$3)-INDEX(B2_NP,MATCH((D16*$C$3),B2_NP,1)))*(INDEX(B2_A,MATCH((D16*$C$3),B2_NP,1)+1)-INDEX(B2_A,MATCH((D16*$C$3),B2_NP,1)))/(INDEX(B2_NP,MATCH((D16*$C$3),B2_NP,1)+1)-INDEX(B2_NP,MATCH((D16*$C$3),B2_NP,1))))))</f>
        <v>0.552606060606061</v>
      </c>
      <c r="G16" s="17" t="n">
        <f aca="false">5*$C$4*F16</f>
        <v>0.552606060606061</v>
      </c>
      <c r="H16" s="5" t="n">
        <v>25</v>
      </c>
      <c r="I16" s="24" t="n">
        <f aca="false">INDEX(VGP_DR,MATCH(H16,VGP_DN,0))</f>
        <v>26.1</v>
      </c>
      <c r="J16" s="16" t="n">
        <f aca="false">G16/1000/(PI()*(I16/1000)^2/4)</f>
        <v>1.03286782199902</v>
      </c>
      <c r="K16" s="24" t="n">
        <f aca="false">1000*IF(J16&lt;1.2,0.000912*J16^2/(I16/1000)^1.3*(1+0.867/J16)^0.3,0.00107*J16^2/(I16/1000)^1.3)</f>
        <v>133.615015342161</v>
      </c>
      <c r="L16" s="17" t="n">
        <f aca="false">K16/1000*C16</f>
        <v>0.427568049094917</v>
      </c>
      <c r="M16" s="17" t="n">
        <f aca="false">L16*(1+$C$5)</f>
        <v>0.555838463823392</v>
      </c>
      <c r="N16" s="25" t="str">
        <f aca="false">IF(AND(J16&gt;=0.3,J16&lt;=1.2),"да","нет")</f>
        <v>да</v>
      </c>
    </row>
    <row r="17" customFormat="false" ht="15" hidden="false" customHeight="false" outlineLevel="0" collapsed="false">
      <c r="A17" s="22" t="n">
        <v>10</v>
      </c>
      <c r="B17" s="8" t="s">
        <v>102</v>
      </c>
      <c r="C17" s="7" t="n">
        <v>3.2</v>
      </c>
      <c r="D17" s="5" t="n">
        <v>56</v>
      </c>
      <c r="E17" s="23" t="n">
        <f aca="false">D17*$C$3</f>
        <v>0.377133838383838</v>
      </c>
      <c r="F17" s="17" t="n">
        <f aca="false">IF(AND($C$3&gt;0.1,D17&lt;=200),((1-MIN(1,(MAX(D17,INDEX(B1_N,1))-INDEX(B1_N,MIN(MATCH(MAX(D17,INDEX(B1_N,1)),B1_N,1),ROWS(B1_N)-1)))/(INDEX(B1_N,MIN(MATCH(MAX(D17,INDEX(B1_N,1)),B1_N,1),ROWS(B1_N)-1)+1)-INDEX(B1_N,MIN(MATCH(MAX(D17,INDEX(B1_N,1)),B1_N,1),ROWS(B1_N)-1)))))*((1-MIN(1,($C$3-INDEX(B1_P,1,MIN(MATCH($C$3,B1_P,1),COLUMNS(B1_P)-1)))/(INDEX(B1_P,1,MIN(MATCH($C$3,B1_P,1),COLUMNS(B1_P)-1)+1)-INDEX(B1_P,1,MIN(MATCH($C$3,B1_P,1),COLUMNS(B1_P)-1)))))*INDEX(B1_G,MIN(MATCH(MAX(D17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17,INDEX(B1_N,1)),B1_N,1),ROWS(B1_N)-1),MIN(MATCH($C$3,B1_P,1),COLUMNS(B1_P)-1)+1))+MIN(1,(MAX(D17,INDEX(B1_N,1))-INDEX(B1_N,MIN(MATCH(MAX(D17,INDEX(B1_N,1)),B1_N,1),ROWS(B1_N)-1)))/(INDEX(B1_N,MIN(MATCH(MAX(D17,INDEX(B1_N,1)),B1_N,1),ROWS(B1_N)-1)+1)-INDEX(B1_N,MIN(MATCH(MAX(D17,INDEX(B1_N,1)),B1_N,1),ROWS(B1_N)-1))))*((1-MIN(1,($C$3-INDEX(B1_P,1,MIN(MATCH($C$3,B1_P,1),COLUMNS(B1_P)-1)))/(INDEX(B1_P,1,MIN(MATCH($C$3,B1_P,1),COLUMNS(B1_P)-1)+1)-INDEX(B1_P,1,MIN(MATCH($C$3,B1_P,1),COLUMNS(B1_P)-1)))))*INDEX(B1_G,MIN(MATCH(MAX(D17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17,INDEX(B1_N,1)),B1_N,1),ROWS(B1_N)-1)+1,MIN(MATCH($C$3,B1_P,1),COLUMNS(B1_P)-1)+1))),IF((D17*$C$3)&lt;INDEX(B2_NP,1),0.2,IF((D17*$C$3)&gt;=INDEX(B2_NP,ROWS(B2_NP)),INDEX(B2_A,ROWS(B2_NP)),INDEX(B2_A,MATCH((D17*$C$3),B2_NP,1))+((D17*$C$3)-INDEX(B2_NP,MATCH((D17*$C$3),B2_NP,1)))*(INDEX(B2_A,MATCH((D17*$C$3),B2_NP,1)+1)-INDEX(B2_A,MATCH((D17*$C$3),B2_NP,1)))/(INDEX(B2_NP,MATCH((D17*$C$3),B2_NP,1)+1)-INDEX(B2_NP,MATCH((D17*$C$3),B2_NP,1))))))</f>
        <v>0.592993686868687</v>
      </c>
      <c r="G17" s="17" t="n">
        <f aca="false">5*$C$4*F17</f>
        <v>0.592993686868687</v>
      </c>
      <c r="H17" s="5" t="n">
        <v>25</v>
      </c>
      <c r="I17" s="24" t="n">
        <f aca="false">INDEX(VGP_DR,MATCH(H17,VGP_DN,0))</f>
        <v>26.1</v>
      </c>
      <c r="J17" s="16" t="n">
        <f aca="false">G17/1000/(PI()*(I17/1000)^2/4)</f>
        <v>1.10835573743708</v>
      </c>
      <c r="K17" s="24" t="n">
        <f aca="false">1000*IF(J17&lt;1.2,0.000912*J17^2/(I17/1000)^1.3*(1+0.867/J17)^0.3,0.00107*J17^2/(I17/1000)^1.3)</f>
        <v>152.408914393497</v>
      </c>
      <c r="L17" s="17" t="n">
        <f aca="false">K17/1000*C17</f>
        <v>0.487708526059192</v>
      </c>
      <c r="M17" s="17" t="n">
        <f aca="false">L17*(1+$C$5)</f>
        <v>0.634021083876949</v>
      </c>
      <c r="N17" s="25" t="str">
        <f aca="false">IF(AND(J17&gt;=0.3,J17&lt;=1.2),"да","нет")</f>
        <v>да</v>
      </c>
    </row>
    <row r="18" customFormat="false" ht="15" hidden="false" customHeight="false" outlineLevel="0" collapsed="false">
      <c r="A18" s="22" t="n">
        <v>11</v>
      </c>
      <c r="B18" s="8" t="s">
        <v>103</v>
      </c>
      <c r="C18" s="7" t="n">
        <v>3.2</v>
      </c>
      <c r="D18" s="5" t="n">
        <v>64</v>
      </c>
      <c r="E18" s="23" t="n">
        <f aca="false">D18*$C$3</f>
        <v>0.431010101010101</v>
      </c>
      <c r="F18" s="17" t="n">
        <f aca="false">IF(AND($C$3&gt;0.1,D18&lt;=200),((1-MIN(1,(MAX(D18,INDEX(B1_N,1))-INDEX(B1_N,MIN(MATCH(MAX(D18,INDEX(B1_N,1)),B1_N,1),ROWS(B1_N)-1)))/(INDEX(B1_N,MIN(MATCH(MAX(D18,INDEX(B1_N,1)),B1_N,1),ROWS(B1_N)-1)+1)-INDEX(B1_N,MIN(MATCH(MAX(D18,INDEX(B1_N,1)),B1_N,1),ROWS(B1_N)-1)))))*((1-MIN(1,($C$3-INDEX(B1_P,1,MIN(MATCH($C$3,B1_P,1),COLUMNS(B1_P)-1)))/(INDEX(B1_P,1,MIN(MATCH($C$3,B1_P,1),COLUMNS(B1_P)-1)+1)-INDEX(B1_P,1,MIN(MATCH($C$3,B1_P,1),COLUMNS(B1_P)-1)))))*INDEX(B1_G,MIN(MATCH(MAX(D18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18,INDEX(B1_N,1)),B1_N,1),ROWS(B1_N)-1),MIN(MATCH($C$3,B1_P,1),COLUMNS(B1_P)-1)+1))+MIN(1,(MAX(D18,INDEX(B1_N,1))-INDEX(B1_N,MIN(MATCH(MAX(D18,INDEX(B1_N,1)),B1_N,1),ROWS(B1_N)-1)))/(INDEX(B1_N,MIN(MATCH(MAX(D18,INDEX(B1_N,1)),B1_N,1),ROWS(B1_N)-1)+1)-INDEX(B1_N,MIN(MATCH(MAX(D18,INDEX(B1_N,1)),B1_N,1),ROWS(B1_N)-1))))*((1-MIN(1,($C$3-INDEX(B1_P,1,MIN(MATCH($C$3,B1_P,1),COLUMNS(B1_P)-1)))/(INDEX(B1_P,1,MIN(MATCH($C$3,B1_P,1),COLUMNS(B1_P)-1)+1)-INDEX(B1_P,1,MIN(MATCH($C$3,B1_P,1),COLUMNS(B1_P)-1)))))*INDEX(B1_G,MIN(MATCH(MAX(D18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18,INDEX(B1_N,1)),B1_N,1),ROWS(B1_N)-1)+1,MIN(MATCH($C$3,B1_P,1),COLUMNS(B1_P)-1)+1))),IF((D18*$C$3)&lt;INDEX(B2_NP,1),0.2,IF((D18*$C$3)&gt;=INDEX(B2_NP,ROWS(B2_NP)),INDEX(B2_A,ROWS(B2_NP)),INDEX(B2_A,MATCH((D18*$C$3),B2_NP,1))+((D18*$C$3)-INDEX(B2_NP,MATCH((D18*$C$3),B2_NP,1)))*(INDEX(B2_A,MATCH((D18*$C$3),B2_NP,1)+1)-INDEX(B2_A,MATCH((D18*$C$3),B2_NP,1)))/(INDEX(B2_NP,MATCH((D18*$C$3),B2_NP,1)+1)-INDEX(B2_NP,MATCH((D18*$C$3),B2_NP,1))))))</f>
        <v>0.631707070707071</v>
      </c>
      <c r="G18" s="17" t="n">
        <f aca="false">5*$C$4*F18</f>
        <v>0.631707070707071</v>
      </c>
      <c r="H18" s="5" t="n">
        <v>25</v>
      </c>
      <c r="I18" s="24" t="n">
        <f aca="false">INDEX(VGP_DR,MATCH(H18,VGP_DN,0))</f>
        <v>26.1</v>
      </c>
      <c r="J18" s="16" t="n">
        <f aca="false">G18/1000/(PI()*(I18/1000)^2/4)</f>
        <v>1.18071435110033</v>
      </c>
      <c r="K18" s="24" t="n">
        <f aca="false">1000*IF(J18&lt;1.2,0.000912*J18^2/(I18/1000)^1.3*(1+0.867/J18)^0.3,0.00107*J18^2/(I18/1000)^1.3)</f>
        <v>171.549407447569</v>
      </c>
      <c r="L18" s="17" t="n">
        <f aca="false">K18/1000*C18</f>
        <v>0.548958103832222</v>
      </c>
      <c r="M18" s="17" t="n">
        <f aca="false">L18*(1+$C$5)</f>
        <v>0.713645534981889</v>
      </c>
      <c r="N18" s="25" t="str">
        <f aca="false">IF(AND(J18&gt;=0.3,J18&lt;=1.2),"да","нет")</f>
        <v>да</v>
      </c>
    </row>
    <row r="19" customFormat="false" ht="15" hidden="false" customHeight="false" outlineLevel="0" collapsed="false">
      <c r="A19" s="22" t="n">
        <v>12</v>
      </c>
      <c r="B19" s="8" t="s">
        <v>104</v>
      </c>
      <c r="C19" s="7" t="n">
        <v>3.2</v>
      </c>
      <c r="D19" s="5" t="n">
        <v>72</v>
      </c>
      <c r="E19" s="23" t="n">
        <f aca="false">D19*$C$3</f>
        <v>0.484886363636364</v>
      </c>
      <c r="F19" s="17" t="n">
        <f aca="false">IF(AND($C$3&gt;0.1,D19&lt;=200),((1-MIN(1,(MAX(D19,INDEX(B1_N,1))-INDEX(B1_N,MIN(MATCH(MAX(D19,INDEX(B1_N,1)),B1_N,1),ROWS(B1_N)-1)))/(INDEX(B1_N,MIN(MATCH(MAX(D19,INDEX(B1_N,1)),B1_N,1),ROWS(B1_N)-1)+1)-INDEX(B1_N,MIN(MATCH(MAX(D19,INDEX(B1_N,1)),B1_N,1),ROWS(B1_N)-1)))))*((1-MIN(1,($C$3-INDEX(B1_P,1,MIN(MATCH($C$3,B1_P,1),COLUMNS(B1_P)-1)))/(INDEX(B1_P,1,MIN(MATCH($C$3,B1_P,1),COLUMNS(B1_P)-1)+1)-INDEX(B1_P,1,MIN(MATCH($C$3,B1_P,1),COLUMNS(B1_P)-1)))))*INDEX(B1_G,MIN(MATCH(MAX(D19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19,INDEX(B1_N,1)),B1_N,1),ROWS(B1_N)-1),MIN(MATCH($C$3,B1_P,1),COLUMNS(B1_P)-1)+1))+MIN(1,(MAX(D19,INDEX(B1_N,1))-INDEX(B1_N,MIN(MATCH(MAX(D19,INDEX(B1_N,1)),B1_N,1),ROWS(B1_N)-1)))/(INDEX(B1_N,MIN(MATCH(MAX(D19,INDEX(B1_N,1)),B1_N,1),ROWS(B1_N)-1)+1)-INDEX(B1_N,MIN(MATCH(MAX(D19,INDEX(B1_N,1)),B1_N,1),ROWS(B1_N)-1))))*((1-MIN(1,($C$3-INDEX(B1_P,1,MIN(MATCH($C$3,B1_P,1),COLUMNS(B1_P)-1)))/(INDEX(B1_P,1,MIN(MATCH($C$3,B1_P,1),COLUMNS(B1_P)-1)+1)-INDEX(B1_P,1,MIN(MATCH($C$3,B1_P,1),COLUMNS(B1_P)-1)))))*INDEX(B1_G,MIN(MATCH(MAX(D19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19,INDEX(B1_N,1)),B1_N,1),ROWS(B1_N)-1)+1,MIN(MATCH($C$3,B1_P,1),COLUMNS(B1_P)-1)+1))),IF((D19*$C$3)&lt;INDEX(B2_NP,1),0.2,IF((D19*$C$3)&gt;=INDEX(B2_NP,ROWS(B2_NP)),INDEX(B2_A,ROWS(B2_NP)),INDEX(B2_A,MATCH((D19*$C$3),B2_NP,1))+((D19*$C$3)-INDEX(B2_NP,MATCH((D19*$C$3),B2_NP,1)))*(INDEX(B2_A,MATCH((D19*$C$3),B2_NP,1)+1)-INDEX(B2_A,MATCH((D19*$C$3),B2_NP,1)))/(INDEX(B2_NP,MATCH((D19*$C$3),B2_NP,1)+1)-INDEX(B2_NP,MATCH((D19*$C$3),B2_NP,1))))))</f>
        <v>0.668420454545455</v>
      </c>
      <c r="G19" s="17" t="n">
        <f aca="false">5*$C$4*F19</f>
        <v>0.668420454545455</v>
      </c>
      <c r="H19" s="5" t="n">
        <v>32</v>
      </c>
      <c r="I19" s="24" t="n">
        <f aca="false">INDEX(VGP_DR,MATCH(H19,VGP_DN,0))</f>
        <v>34.9</v>
      </c>
      <c r="J19" s="16" t="n">
        <f aca="false">G19/1000/(PI()*(I19/1000)^2/4)</f>
        <v>0.698729366127639</v>
      </c>
      <c r="K19" s="24" t="n">
        <f aca="false">1000*IF(J19&lt;1.2,0.000912*J19^2/(I19/1000)^1.3*(1+0.867/J19)^0.3,0.00107*J19^2/(I19/1000)^1.3)</f>
        <v>44.4694835553931</v>
      </c>
      <c r="L19" s="17" t="n">
        <f aca="false">K19/1000*C19</f>
        <v>0.142302347377258</v>
      </c>
      <c r="M19" s="17" t="n">
        <f aca="false">L19*(1+$C$5)</f>
        <v>0.184993051590435</v>
      </c>
      <c r="N19" s="25" t="str">
        <f aca="false">IF(AND(J19&gt;=0.3,J19&lt;=1.2),"да","нет")</f>
        <v>да</v>
      </c>
    </row>
    <row r="20" customFormat="false" ht="15" hidden="false" customHeight="false" outlineLevel="0" collapsed="false">
      <c r="A20" s="22" t="n">
        <v>13</v>
      </c>
      <c r="B20" s="8" t="s">
        <v>105</v>
      </c>
      <c r="C20" s="7" t="n">
        <v>3.2</v>
      </c>
      <c r="D20" s="5" t="n">
        <v>80</v>
      </c>
      <c r="E20" s="23" t="n">
        <f aca="false">D20*$C$3</f>
        <v>0.538762626262626</v>
      </c>
      <c r="F20" s="17" t="n">
        <f aca="false">IF(AND($C$3&gt;0.1,D20&lt;=200),((1-MIN(1,(MAX(D20,INDEX(B1_N,1))-INDEX(B1_N,MIN(MATCH(MAX(D20,INDEX(B1_N,1)),B1_N,1),ROWS(B1_N)-1)))/(INDEX(B1_N,MIN(MATCH(MAX(D20,INDEX(B1_N,1)),B1_N,1),ROWS(B1_N)-1)+1)-INDEX(B1_N,MIN(MATCH(MAX(D20,INDEX(B1_N,1)),B1_N,1),ROWS(B1_N)-1)))))*((1-MIN(1,($C$3-INDEX(B1_P,1,MIN(MATCH($C$3,B1_P,1),COLUMNS(B1_P)-1)))/(INDEX(B1_P,1,MIN(MATCH($C$3,B1_P,1),COLUMNS(B1_P)-1)+1)-INDEX(B1_P,1,MIN(MATCH($C$3,B1_P,1),COLUMNS(B1_P)-1)))))*INDEX(B1_G,MIN(MATCH(MAX(D20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20,INDEX(B1_N,1)),B1_N,1),ROWS(B1_N)-1),MIN(MATCH($C$3,B1_P,1),COLUMNS(B1_P)-1)+1))+MIN(1,(MAX(D20,INDEX(B1_N,1))-INDEX(B1_N,MIN(MATCH(MAX(D20,INDEX(B1_N,1)),B1_N,1),ROWS(B1_N)-1)))/(INDEX(B1_N,MIN(MATCH(MAX(D20,INDEX(B1_N,1)),B1_N,1),ROWS(B1_N)-1)+1)-INDEX(B1_N,MIN(MATCH(MAX(D20,INDEX(B1_N,1)),B1_N,1),ROWS(B1_N)-1))))*((1-MIN(1,($C$3-INDEX(B1_P,1,MIN(MATCH($C$3,B1_P,1),COLUMNS(B1_P)-1)))/(INDEX(B1_P,1,MIN(MATCH($C$3,B1_P,1),COLUMNS(B1_P)-1)+1)-INDEX(B1_P,1,MIN(MATCH($C$3,B1_P,1),COLUMNS(B1_P)-1)))))*INDEX(B1_G,MIN(MATCH(MAX(D20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20,INDEX(B1_N,1)),B1_N,1),ROWS(B1_N)-1)+1,MIN(MATCH($C$3,B1_P,1),COLUMNS(B1_P)-1)+1))),IF((D20*$C$3)&lt;INDEX(B2_NP,1),0.2,IF((D20*$C$3)&gt;=INDEX(B2_NP,ROWS(B2_NP)),INDEX(B2_A,ROWS(B2_NP)),INDEX(B2_A,MATCH((D20*$C$3),B2_NP,1))+((D20*$C$3)-INDEX(B2_NP,MATCH((D20*$C$3),B2_NP,1)))*(INDEX(B2_A,MATCH((D20*$C$3),B2_NP,1)+1)-INDEX(B2_A,MATCH((D20*$C$3),B2_NP,1)))/(INDEX(B2_NP,MATCH((D20*$C$3),B2_NP,1)+1)-INDEX(B2_NP,MATCH((D20*$C$3),B2_NP,1))))))</f>
        <v>0.703257575757576</v>
      </c>
      <c r="G20" s="17" t="n">
        <f aca="false">5*$C$4*F20</f>
        <v>0.703257575757576</v>
      </c>
      <c r="H20" s="5" t="n">
        <v>32</v>
      </c>
      <c r="I20" s="24" t="n">
        <f aca="false">INDEX(VGP_DR,MATCH(H20,VGP_DN,0))</f>
        <v>34.9</v>
      </c>
      <c r="J20" s="16" t="n">
        <f aca="false">G20/1000/(PI()*(I20/1000)^2/4)</f>
        <v>0.73514614460401</v>
      </c>
      <c r="K20" s="24" t="n">
        <f aca="false">1000*IF(J20&lt;1.2,0.000912*J20^2/(I20/1000)^1.3*(1+0.867/J20)^0.3,0.00107*J20^2/(I20/1000)^1.3)</f>
        <v>48.8166175945024</v>
      </c>
      <c r="L20" s="17" t="n">
        <f aca="false">K20/1000*C20</f>
        <v>0.156213176302408</v>
      </c>
      <c r="M20" s="17" t="n">
        <f aca="false">L20*(1+$C$5)</f>
        <v>0.20307712919313</v>
      </c>
      <c r="N20" s="25" t="str">
        <f aca="false">IF(AND(J20&gt;=0.3,J20&lt;=1.2),"да","нет")</f>
        <v>да</v>
      </c>
    </row>
    <row r="21" customFormat="false" ht="15" hidden="false" customHeight="false" outlineLevel="0" collapsed="false">
      <c r="A21" s="22" t="n">
        <v>14</v>
      </c>
      <c r="B21" s="8" t="s">
        <v>106</v>
      </c>
      <c r="C21" s="7" t="n">
        <v>1.3</v>
      </c>
      <c r="D21" s="5" t="n">
        <v>88</v>
      </c>
      <c r="E21" s="23" t="n">
        <f aca="false">D21*$C$3</f>
        <v>0.592638888888889</v>
      </c>
      <c r="F21" s="17" t="n">
        <f aca="false">IF(AND($C$3&gt;0.1,D21&lt;=200),((1-MIN(1,(MAX(D21,INDEX(B1_N,1))-INDEX(B1_N,MIN(MATCH(MAX(D21,INDEX(B1_N,1)),B1_N,1),ROWS(B1_N)-1)))/(INDEX(B1_N,MIN(MATCH(MAX(D21,INDEX(B1_N,1)),B1_N,1),ROWS(B1_N)-1)+1)-INDEX(B1_N,MIN(MATCH(MAX(D21,INDEX(B1_N,1)),B1_N,1),ROWS(B1_N)-1)))))*((1-MIN(1,($C$3-INDEX(B1_P,1,MIN(MATCH($C$3,B1_P,1),COLUMNS(B1_P)-1)))/(INDEX(B1_P,1,MIN(MATCH($C$3,B1_P,1),COLUMNS(B1_P)-1)+1)-INDEX(B1_P,1,MIN(MATCH($C$3,B1_P,1),COLUMNS(B1_P)-1)))))*INDEX(B1_G,MIN(MATCH(MAX(D21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21,INDEX(B1_N,1)),B1_N,1),ROWS(B1_N)-1),MIN(MATCH($C$3,B1_P,1),COLUMNS(B1_P)-1)+1))+MIN(1,(MAX(D21,INDEX(B1_N,1))-INDEX(B1_N,MIN(MATCH(MAX(D21,INDEX(B1_N,1)),B1_N,1),ROWS(B1_N)-1)))/(INDEX(B1_N,MIN(MATCH(MAX(D21,INDEX(B1_N,1)),B1_N,1),ROWS(B1_N)-1)+1)-INDEX(B1_N,MIN(MATCH(MAX(D21,INDEX(B1_N,1)),B1_N,1),ROWS(B1_N)-1))))*((1-MIN(1,($C$3-INDEX(B1_P,1,MIN(MATCH($C$3,B1_P,1),COLUMNS(B1_P)-1)))/(INDEX(B1_P,1,MIN(MATCH($C$3,B1_P,1),COLUMNS(B1_P)-1)+1)-INDEX(B1_P,1,MIN(MATCH($C$3,B1_P,1),COLUMNS(B1_P)-1)))))*INDEX(B1_G,MIN(MATCH(MAX(D21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21,INDEX(B1_N,1)),B1_N,1),ROWS(B1_N)-1)+1,MIN(MATCH($C$3,B1_P,1),COLUMNS(B1_P)-1)+1))),IF((D21*$C$3)&lt;INDEX(B2_NP,1),0.2,IF((D21*$C$3)&gt;=INDEX(B2_NP,ROWS(B2_NP)),INDEX(B2_A,ROWS(B2_NP)),INDEX(B2_A,MATCH((D21*$C$3),B2_NP,1))+((D21*$C$3)-INDEX(B2_NP,MATCH((D21*$C$3),B2_NP,1)))*(INDEX(B2_A,MATCH((D21*$C$3),B2_NP,1)+1)-INDEX(B2_A,MATCH((D21*$C$3),B2_NP,1)))/(INDEX(B2_NP,MATCH((D21*$C$3),B2_NP,1)+1)-INDEX(B2_NP,MATCH((D21*$C$3),B2_NP,1))))))</f>
        <v>0.737583333333333</v>
      </c>
      <c r="G21" s="17" t="n">
        <f aca="false">5*$C$4*F21</f>
        <v>0.737583333333333</v>
      </c>
      <c r="H21" s="5" t="n">
        <v>32</v>
      </c>
      <c r="I21" s="24" t="n">
        <f aca="false">INDEX(VGP_DR,MATCH(H21,VGP_DN,0))</f>
        <v>34.9</v>
      </c>
      <c r="J21" s="16" t="n">
        <f aca="false">G21/1000/(PI()*(I21/1000)^2/4)</f>
        <v>0.771028372129602</v>
      </c>
      <c r="K21" s="24" t="n">
        <f aca="false">1000*IF(J21&lt;1.2,0.000912*J21^2/(I21/1000)^1.3*(1+0.867/J21)^0.3,0.00107*J21^2/(I21/1000)^1.3)</f>
        <v>53.2890306420385</v>
      </c>
      <c r="L21" s="17" t="n">
        <f aca="false">K21/1000*C21</f>
        <v>0.0692757398346501</v>
      </c>
      <c r="M21" s="17" t="n">
        <f aca="false">L21*(1+$C$5)</f>
        <v>0.0900584617850451</v>
      </c>
      <c r="N21" s="25" t="str">
        <f aca="false">IF(AND(J21&gt;=0.3,J21&lt;=1.2),"да","нет")</f>
        <v>да</v>
      </c>
    </row>
    <row r="22" customFormat="false" ht="15" hidden="false" customHeight="false" outlineLevel="0" collapsed="false">
      <c r="A22" s="22" t="n">
        <v>15</v>
      </c>
      <c r="B22" s="8" t="s">
        <v>107</v>
      </c>
      <c r="C22" s="7" t="n">
        <v>15.3</v>
      </c>
      <c r="D22" s="5" t="n">
        <v>88</v>
      </c>
      <c r="E22" s="23" t="n">
        <f aca="false">D22*$C$3</f>
        <v>0.592638888888889</v>
      </c>
      <c r="F22" s="17" t="n">
        <f aca="false">IF(AND($C$3&gt;0.1,D22&lt;=200),((1-MIN(1,(MAX(D22,INDEX(B1_N,1))-INDEX(B1_N,MIN(MATCH(MAX(D22,INDEX(B1_N,1)),B1_N,1),ROWS(B1_N)-1)))/(INDEX(B1_N,MIN(MATCH(MAX(D22,INDEX(B1_N,1)),B1_N,1),ROWS(B1_N)-1)+1)-INDEX(B1_N,MIN(MATCH(MAX(D22,INDEX(B1_N,1)),B1_N,1),ROWS(B1_N)-1)))))*((1-MIN(1,($C$3-INDEX(B1_P,1,MIN(MATCH($C$3,B1_P,1),COLUMNS(B1_P)-1)))/(INDEX(B1_P,1,MIN(MATCH($C$3,B1_P,1),COLUMNS(B1_P)-1)+1)-INDEX(B1_P,1,MIN(MATCH($C$3,B1_P,1),COLUMNS(B1_P)-1)))))*INDEX(B1_G,MIN(MATCH(MAX(D22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22,INDEX(B1_N,1)),B1_N,1),ROWS(B1_N)-1),MIN(MATCH($C$3,B1_P,1),COLUMNS(B1_P)-1)+1))+MIN(1,(MAX(D22,INDEX(B1_N,1))-INDEX(B1_N,MIN(MATCH(MAX(D22,INDEX(B1_N,1)),B1_N,1),ROWS(B1_N)-1)))/(INDEX(B1_N,MIN(MATCH(MAX(D22,INDEX(B1_N,1)),B1_N,1),ROWS(B1_N)-1)+1)-INDEX(B1_N,MIN(MATCH(MAX(D22,INDEX(B1_N,1)),B1_N,1),ROWS(B1_N)-1))))*((1-MIN(1,($C$3-INDEX(B1_P,1,MIN(MATCH($C$3,B1_P,1),COLUMNS(B1_P)-1)))/(INDEX(B1_P,1,MIN(MATCH($C$3,B1_P,1),COLUMNS(B1_P)-1)+1)-INDEX(B1_P,1,MIN(MATCH($C$3,B1_P,1),COLUMNS(B1_P)-1)))))*INDEX(B1_G,MIN(MATCH(MAX(D22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22,INDEX(B1_N,1)),B1_N,1),ROWS(B1_N)-1)+1,MIN(MATCH($C$3,B1_P,1),COLUMNS(B1_P)-1)+1))),IF((D22*$C$3)&lt;INDEX(B2_NP,1),0.2,IF((D22*$C$3)&gt;=INDEX(B2_NP,ROWS(B2_NP)),INDEX(B2_A,ROWS(B2_NP)),INDEX(B2_A,MATCH((D22*$C$3),B2_NP,1))+((D22*$C$3)-INDEX(B2_NP,MATCH((D22*$C$3),B2_NP,1)))*(INDEX(B2_A,MATCH((D22*$C$3),B2_NP,1)+1)-INDEX(B2_A,MATCH((D22*$C$3),B2_NP,1)))/(INDEX(B2_NP,MATCH((D22*$C$3),B2_NP,1)+1)-INDEX(B2_NP,MATCH((D22*$C$3),B2_NP,1))))))</f>
        <v>0.737583333333333</v>
      </c>
      <c r="G22" s="17" t="n">
        <f aca="false">5*$C$4*F22</f>
        <v>0.737583333333333</v>
      </c>
      <c r="H22" s="5" t="n">
        <v>32</v>
      </c>
      <c r="I22" s="24" t="n">
        <f aca="false">INDEX(VGP_DR,MATCH(H22,VGP_DN,0))</f>
        <v>34.9</v>
      </c>
      <c r="J22" s="16" t="n">
        <f aca="false">G22/1000/(PI()*(I22/1000)^2/4)</f>
        <v>0.771028372129602</v>
      </c>
      <c r="K22" s="24" t="n">
        <f aca="false">1000*IF(J22&lt;1.2,0.000912*J22^2/(I22/1000)^1.3*(1+0.867/J22)^0.3,0.00107*J22^2/(I22/1000)^1.3)</f>
        <v>53.2890306420385</v>
      </c>
      <c r="L22" s="17" t="n">
        <f aca="false">K22/1000*C22</f>
        <v>0.815322168823189</v>
      </c>
      <c r="M22" s="17" t="n">
        <f aca="false">L22*(1+$C$5)</f>
        <v>1.05991881947015</v>
      </c>
      <c r="N22" s="25" t="str">
        <f aca="false">IF(AND(J22&gt;=0.3,J22&lt;=1.2),"да","нет")</f>
        <v>да</v>
      </c>
    </row>
    <row r="23" customFormat="false" ht="15" hidden="false" customHeight="false" outlineLevel="0" collapsed="false">
      <c r="A23" s="22" t="n">
        <v>16</v>
      </c>
      <c r="B23" s="8" t="s">
        <v>108</v>
      </c>
      <c r="C23" s="7" t="n">
        <v>8.4</v>
      </c>
      <c r="D23" s="5" t="n">
        <v>132</v>
      </c>
      <c r="E23" s="23" t="n">
        <f aca="false">D23*$C$3</f>
        <v>0.888958333333333</v>
      </c>
      <c r="F23" s="17" t="n">
        <f aca="false">IF(AND($C$3&gt;0.1,D23&lt;=200),((1-MIN(1,(MAX(D23,INDEX(B1_N,1))-INDEX(B1_N,MIN(MATCH(MAX(D23,INDEX(B1_N,1)),B1_N,1),ROWS(B1_N)-1)))/(INDEX(B1_N,MIN(MATCH(MAX(D23,INDEX(B1_N,1)),B1_N,1),ROWS(B1_N)-1)+1)-INDEX(B1_N,MIN(MATCH(MAX(D23,INDEX(B1_N,1)),B1_N,1),ROWS(B1_N)-1)))))*((1-MIN(1,($C$3-INDEX(B1_P,1,MIN(MATCH($C$3,B1_P,1),COLUMNS(B1_P)-1)))/(INDEX(B1_P,1,MIN(MATCH($C$3,B1_P,1),COLUMNS(B1_P)-1)+1)-INDEX(B1_P,1,MIN(MATCH($C$3,B1_P,1),COLUMNS(B1_P)-1)))))*INDEX(B1_G,MIN(MATCH(MAX(D23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23,INDEX(B1_N,1)),B1_N,1),ROWS(B1_N)-1),MIN(MATCH($C$3,B1_P,1),COLUMNS(B1_P)-1)+1))+MIN(1,(MAX(D23,INDEX(B1_N,1))-INDEX(B1_N,MIN(MATCH(MAX(D23,INDEX(B1_N,1)),B1_N,1),ROWS(B1_N)-1)))/(INDEX(B1_N,MIN(MATCH(MAX(D23,INDEX(B1_N,1)),B1_N,1),ROWS(B1_N)-1)+1)-INDEX(B1_N,MIN(MATCH(MAX(D23,INDEX(B1_N,1)),B1_N,1),ROWS(B1_N)-1))))*((1-MIN(1,($C$3-INDEX(B1_P,1,MIN(MATCH($C$3,B1_P,1),COLUMNS(B1_P)-1)))/(INDEX(B1_P,1,MIN(MATCH($C$3,B1_P,1),COLUMNS(B1_P)-1)+1)-INDEX(B1_P,1,MIN(MATCH($C$3,B1_P,1),COLUMNS(B1_P)-1)))))*INDEX(B1_G,MIN(MATCH(MAX(D23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23,INDEX(B1_N,1)),B1_N,1),ROWS(B1_N)-1)+1,MIN(MATCH($C$3,B1_P,1),COLUMNS(B1_P)-1)+1))),IF((D23*$C$3)&lt;INDEX(B2_NP,1),0.2,IF((D23*$C$3)&gt;=INDEX(B2_NP,ROWS(B2_NP)),INDEX(B2_A,ROWS(B2_NP)),INDEX(B2_A,MATCH((D23*$C$3),B2_NP,1))+((D23*$C$3)-INDEX(B2_NP,MATCH((D23*$C$3),B2_NP,1)))*(INDEX(B2_A,MATCH((D23*$C$3),B2_NP,1)+1)-INDEX(B2_A,MATCH((D23*$C$3),B2_NP,1)))/(INDEX(B2_NP,MATCH((D23*$C$3),B2_NP,1)+1)-INDEX(B2_NP,MATCH((D23*$C$3),B2_NP,1))))))</f>
        <v>0.909927083333333</v>
      </c>
      <c r="G23" s="17" t="n">
        <f aca="false">5*$C$4*F23</f>
        <v>0.909927083333333</v>
      </c>
      <c r="H23" s="5" t="n">
        <v>32</v>
      </c>
      <c r="I23" s="24" t="n">
        <f aca="false">INDEX(VGP_DR,MATCH(H23,VGP_DN,0))</f>
        <v>34.9</v>
      </c>
      <c r="J23" s="16" t="n">
        <f aca="false">G23/1000/(PI()*(I23/1000)^2/4)</f>
        <v>0.951186891179488</v>
      </c>
      <c r="K23" s="24" t="n">
        <f aca="false">1000*IF(J23&lt;1.2,0.000912*J23^2/(I23/1000)^1.3*(1+0.867/J23)^0.3,0.00107*J23^2/(I23/1000)^1.3)</f>
        <v>78.5715455101904</v>
      </c>
      <c r="L23" s="17" t="n">
        <f aca="false">K23/1000*C23</f>
        <v>0.6600009822856</v>
      </c>
      <c r="M23" s="17" t="n">
        <f aca="false">L23*(1+$C$5)</f>
        <v>0.85800127697128</v>
      </c>
      <c r="N23" s="25" t="str">
        <f aca="false">IF(AND(J23&gt;=0.3,J23&lt;=1.2),"да","нет")</f>
        <v>да</v>
      </c>
    </row>
    <row r="24" customFormat="false" ht="15" hidden="false" customHeight="false" outlineLevel="0" collapsed="false">
      <c r="A24" s="22" t="n">
        <v>17</v>
      </c>
      <c r="B24" s="8" t="s">
        <v>109</v>
      </c>
      <c r="C24" s="7" t="n">
        <v>11.7</v>
      </c>
      <c r="D24" s="5" t="n">
        <v>220</v>
      </c>
      <c r="E24" s="23" t="n">
        <f aca="false">D24*$C$3</f>
        <v>1.48159722222222</v>
      </c>
      <c r="F24" s="17" t="n">
        <f aca="false">IF(AND($C$3&gt;0.1,D24&lt;=200),((1-MIN(1,(MAX(D24,INDEX(B1_N,1))-INDEX(B1_N,MIN(MATCH(MAX(D24,INDEX(B1_N,1)),B1_N,1),ROWS(B1_N)-1)))/(INDEX(B1_N,MIN(MATCH(MAX(D24,INDEX(B1_N,1)),B1_N,1),ROWS(B1_N)-1)+1)-INDEX(B1_N,MIN(MATCH(MAX(D24,INDEX(B1_N,1)),B1_N,1),ROWS(B1_N)-1)))))*((1-MIN(1,($C$3-INDEX(B1_P,1,MIN(MATCH($C$3,B1_P,1),COLUMNS(B1_P)-1)))/(INDEX(B1_P,1,MIN(MATCH($C$3,B1_P,1),COLUMNS(B1_P)-1)+1)-INDEX(B1_P,1,MIN(MATCH($C$3,B1_P,1),COLUMNS(B1_P)-1)))))*INDEX(B1_G,MIN(MATCH(MAX(D24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24,INDEX(B1_N,1)),B1_N,1),ROWS(B1_N)-1),MIN(MATCH($C$3,B1_P,1),COLUMNS(B1_P)-1)+1))+MIN(1,(MAX(D24,INDEX(B1_N,1))-INDEX(B1_N,MIN(MATCH(MAX(D24,INDEX(B1_N,1)),B1_N,1),ROWS(B1_N)-1)))/(INDEX(B1_N,MIN(MATCH(MAX(D24,INDEX(B1_N,1)),B1_N,1),ROWS(B1_N)-1)+1)-INDEX(B1_N,MIN(MATCH(MAX(D24,INDEX(B1_N,1)),B1_N,1),ROWS(B1_N)-1))))*((1-MIN(1,($C$3-INDEX(B1_P,1,MIN(MATCH($C$3,B1_P,1),COLUMNS(B1_P)-1)))/(INDEX(B1_P,1,MIN(MATCH($C$3,B1_P,1),COLUMNS(B1_P)-1)+1)-INDEX(B1_P,1,MIN(MATCH($C$3,B1_P,1),COLUMNS(B1_P)-1)))))*INDEX(B1_G,MIN(MATCH(MAX(D24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24,INDEX(B1_N,1)),B1_N,1),ROWS(B1_N)-1)+1,MIN(MATCH($C$3,B1_P,1),COLUMNS(B1_P)-1)+1))),IF((D24*$C$3)&lt;INDEX(B2_NP,1),0.2,IF((D24*$C$3)&gt;=INDEX(B2_NP,ROWS(B2_NP)),INDEX(B2_A,ROWS(B2_NP)),INDEX(B2_A,MATCH((D24*$C$3),B2_NP,1))+((D24*$C$3)-INDEX(B2_NP,MATCH((D24*$C$3),B2_NP,1)))*(INDEX(B2_A,MATCH((D24*$C$3),B2_NP,1)+1)-INDEX(B2_A,MATCH((D24*$C$3),B2_NP,1)))/(INDEX(B2_NP,MATCH((D24*$C$3),B2_NP,1)+1)-INDEX(B2_NP,MATCH((D24*$C$3),B2_NP,1))))))</f>
        <v>1.20616666666667</v>
      </c>
      <c r="G24" s="17" t="n">
        <f aca="false">5*$C$4*F24</f>
        <v>1.20616666666667</v>
      </c>
      <c r="H24" s="5" t="n">
        <v>40</v>
      </c>
      <c r="I24" s="24" t="n">
        <f aca="false">INDEX(VGP_DR,MATCH(H24,VGP_DN,0))</f>
        <v>40</v>
      </c>
      <c r="J24" s="16" t="n">
        <f aca="false">G24/1000/(PI()*(I24/1000)^2/4)</f>
        <v>0.959836935963372</v>
      </c>
      <c r="K24" s="24" t="n">
        <f aca="false">1000*IF(J24&lt;1.2,0.000912*J24^2/(I24/1000)^1.3*(1+0.867/J24)^0.3,0.00107*J24^2/(I24/1000)^1.3)</f>
        <v>66.9210064294479</v>
      </c>
      <c r="L24" s="17" t="n">
        <f aca="false">K24/1000*C24</f>
        <v>0.782975775224541</v>
      </c>
      <c r="M24" s="17" t="n">
        <f aca="false">L24*(1+$C$5)</f>
        <v>1.0178685077919</v>
      </c>
      <c r="N24" s="25" t="str">
        <f aca="false">IF(AND(J24&gt;=0.3,J24&lt;=1.2),"да","нет")</f>
        <v>да</v>
      </c>
    </row>
    <row r="25" customFormat="false" ht="15" hidden="false" customHeight="false" outlineLevel="0" collapsed="false">
      <c r="A25" s="22" t="n">
        <v>18</v>
      </c>
      <c r="B25" s="8" t="s">
        <v>110</v>
      </c>
      <c r="C25" s="7" t="n">
        <v>3.5</v>
      </c>
      <c r="D25" s="5" t="n">
        <v>264</v>
      </c>
      <c r="E25" s="23" t="n">
        <f aca="false">D25*$C$3</f>
        <v>1.77791666666667</v>
      </c>
      <c r="F25" s="17" t="n">
        <f aca="false">IF(AND($C$3&gt;0.1,D25&lt;=200),((1-MIN(1,(MAX(D25,INDEX(B1_N,1))-INDEX(B1_N,MIN(MATCH(MAX(D25,INDEX(B1_N,1)),B1_N,1),ROWS(B1_N)-1)))/(INDEX(B1_N,MIN(MATCH(MAX(D25,INDEX(B1_N,1)),B1_N,1),ROWS(B1_N)-1)+1)-INDEX(B1_N,MIN(MATCH(MAX(D25,INDEX(B1_N,1)),B1_N,1),ROWS(B1_N)-1)))))*((1-MIN(1,($C$3-INDEX(B1_P,1,MIN(MATCH($C$3,B1_P,1),COLUMNS(B1_P)-1)))/(INDEX(B1_P,1,MIN(MATCH($C$3,B1_P,1),COLUMNS(B1_P)-1)+1)-INDEX(B1_P,1,MIN(MATCH($C$3,B1_P,1),COLUMNS(B1_P)-1)))))*INDEX(B1_G,MIN(MATCH(MAX(D25,INDEX(B1_N,1)),B1_N,1),ROWS(B1_N)-1),MIN(MATCH($C$3,B1_P,1),COLUMNS(B1_P)-1))+MIN(1,($C$3-INDEX(B1_P,1,MIN(MATCH($C$3,B1_P,1),COLUMNS(B1_P)-1)))/(INDEX(B1_P,1,MIN(MATCH($C$3,B1_P,1),COLUMNS(B1_P)-1)+1)-INDEX(B1_P,1,MIN(MATCH($C$3,B1_P,1),COLUMNS(B1_P)-1))))*INDEX(B1_G,MIN(MATCH(MAX(D25,INDEX(B1_N,1)),B1_N,1),ROWS(B1_N)-1),MIN(MATCH($C$3,B1_P,1),COLUMNS(B1_P)-1)+1))+MIN(1,(MAX(D25,INDEX(B1_N,1))-INDEX(B1_N,MIN(MATCH(MAX(D25,INDEX(B1_N,1)),B1_N,1),ROWS(B1_N)-1)))/(INDEX(B1_N,MIN(MATCH(MAX(D25,INDEX(B1_N,1)),B1_N,1),ROWS(B1_N)-1)+1)-INDEX(B1_N,MIN(MATCH(MAX(D25,INDEX(B1_N,1)),B1_N,1),ROWS(B1_N)-1))))*((1-MIN(1,($C$3-INDEX(B1_P,1,MIN(MATCH($C$3,B1_P,1),COLUMNS(B1_P)-1)))/(INDEX(B1_P,1,MIN(MATCH($C$3,B1_P,1),COLUMNS(B1_P)-1)+1)-INDEX(B1_P,1,MIN(MATCH($C$3,B1_P,1),COLUMNS(B1_P)-1)))))*INDEX(B1_G,MIN(MATCH(MAX(D25,INDEX(B1_N,1)),B1_N,1),ROWS(B1_N)-1)+1,MIN(MATCH($C$3,B1_P,1),COLUMNS(B1_P)-1))+MIN(1,($C$3-INDEX(B1_P,1,MIN(MATCH($C$3,B1_P,1),COLUMNS(B1_P)-1)))/(INDEX(B1_P,1,MIN(MATCH($C$3,B1_P,1),COLUMNS(B1_P)-1)+1)-INDEX(B1_P,1,MIN(MATCH($C$3,B1_P,1),COLUMNS(B1_P)-1))))*INDEX(B1_G,MIN(MATCH(MAX(D25,INDEX(B1_N,1)),B1_N,1),ROWS(B1_N)-1)+1,MIN(MATCH($C$3,B1_P,1),COLUMNS(B1_P)-1)+1))),IF((D25*$C$3)&lt;INDEX(B2_NP,1),0.2,IF((D25*$C$3)&gt;=INDEX(B2_NP,ROWS(B2_NP)),INDEX(B2_A,ROWS(B2_NP)),INDEX(B2_A,MATCH((D25*$C$3),B2_NP,1))+((D25*$C$3)-INDEX(B2_NP,MATCH((D25*$C$3),B2_NP,1)))*(INDEX(B2_A,MATCH((D25*$C$3),B2_NP,1)+1)-INDEX(B2_A,MATCH((D25*$C$3),B2_NP,1)))/(INDEX(B2_NP,MATCH((D25*$C$3),B2_NP,1)+1)-INDEX(B2_NP,MATCH((D25*$C$3),B2_NP,1))))))</f>
        <v>1.34028333333333</v>
      </c>
      <c r="G25" s="17" t="n">
        <f aca="false">5*$C$4*F25</f>
        <v>1.34028333333333</v>
      </c>
      <c r="H25" s="5" t="n">
        <v>40</v>
      </c>
      <c r="I25" s="24" t="n">
        <f aca="false">INDEX(VGP_DR,MATCH(H25,VGP_DN,0))</f>
        <v>40</v>
      </c>
      <c r="J25" s="16" t="n">
        <f aca="false">G25/1000/(PI()*(I25/1000)^2/4)</f>
        <v>1.06656358821841</v>
      </c>
      <c r="K25" s="24" t="n">
        <f aca="false">1000*IF(J25&lt;1.2,0.000912*J25^2/(I25/1000)^1.3*(1+0.867/J25)^0.3,0.00107*J25^2/(I25/1000)^1.3)</f>
        <v>81.4332686987536</v>
      </c>
      <c r="L25" s="17" t="n">
        <f aca="false">K25/1000*C25</f>
        <v>0.285016440445638</v>
      </c>
      <c r="M25" s="17" t="n">
        <f aca="false">L25*(1+$C$5)</f>
        <v>0.370521372579329</v>
      </c>
      <c r="N25" s="25" t="str">
        <f aca="false">IF(AND(J25&gt;=0.3,J25&lt;=1.2),"да","нет")</f>
        <v>да</v>
      </c>
    </row>
    <row r="26" customFormat="false" ht="15" hidden="false" customHeight="false" outlineLevel="0" collapsed="false">
      <c r="L26" s="9" t="s">
        <v>111</v>
      </c>
      <c r="M26" s="26" t="n">
        <f aca="false">SUM(M8:M25)</f>
        <v>9.31507206627397</v>
      </c>
    </row>
    <row r="27" customFormat="false" ht="15" hidden="false" customHeight="false" outlineLevel="0" collapsed="false">
      <c r="A27" s="27" t="s">
        <v>112</v>
      </c>
    </row>
    <row r="29" customFormat="false" ht="25.35" hidden="false" customHeight="false" outlineLevel="0" collapsed="false">
      <c r="B29" s="4" t="s">
        <v>113</v>
      </c>
    </row>
    <row r="30" customFormat="false" ht="15" hidden="false" customHeight="false" outlineLevel="0" collapsed="false">
      <c r="B30" s="4" t="s">
        <v>114</v>
      </c>
      <c r="C30" s="28" t="n">
        <f aca="false">Расходы!N4</f>
        <v>2.58355555555556</v>
      </c>
    </row>
    <row r="31" customFormat="false" ht="15" hidden="false" customHeight="false" outlineLevel="0" collapsed="false">
      <c r="B31" s="4" t="s">
        <v>115</v>
      </c>
      <c r="C31" s="5" t="n">
        <v>63</v>
      </c>
    </row>
    <row r="32" customFormat="false" ht="15" hidden="false" customHeight="false" outlineLevel="0" collapsed="false">
      <c r="B32" s="4" t="s">
        <v>116</v>
      </c>
      <c r="C32" s="24" t="n">
        <f aca="false">INDEX(PE_DV,MATCH(C31,PE_DN,0))</f>
        <v>55.4</v>
      </c>
    </row>
    <row r="33" customFormat="false" ht="15" hidden="false" customHeight="false" outlineLevel="0" collapsed="false">
      <c r="B33" s="4" t="s">
        <v>90</v>
      </c>
      <c r="C33" s="16" t="n">
        <f aca="false">C30/1000/(PI()*(C32/1000)^2/4)</f>
        <v>1.07178677532405</v>
      </c>
    </row>
    <row r="34" customFormat="false" ht="15" hidden="false" customHeight="false" outlineLevel="0" collapsed="false">
      <c r="B34" s="4" t="s">
        <v>117</v>
      </c>
      <c r="C34" s="22" t="n">
        <f aca="false">C33*C32/1000/0.00000131</f>
        <v>45325.9445442384</v>
      </c>
    </row>
    <row r="35" customFormat="false" ht="15" hidden="false" customHeight="false" outlineLevel="0" collapsed="false">
      <c r="B35" s="4" t="s">
        <v>118</v>
      </c>
      <c r="C35" s="23" t="n">
        <f aca="false">0.25/LOG10(0.00001/(3.7*C32/1000)+5.74/C34^0.9)^2</f>
        <v>0.0219087724143817</v>
      </c>
    </row>
    <row r="36" customFormat="false" ht="15" hidden="false" customHeight="false" outlineLevel="0" collapsed="false">
      <c r="B36" s="4" t="s">
        <v>119</v>
      </c>
      <c r="C36" s="23" t="n">
        <f aca="false">C35/(C32/1000)*C33^2/(2*9.81)</f>
        <v>0.0231540018821871</v>
      </c>
    </row>
    <row r="37" customFormat="false" ht="15" hidden="false" customHeight="false" outlineLevel="0" collapsed="false">
      <c r="B37" s="4" t="s">
        <v>120</v>
      </c>
      <c r="C37" s="6" t="n">
        <v>25</v>
      </c>
    </row>
    <row r="38" customFormat="false" ht="15" hidden="false" customHeight="false" outlineLevel="0" collapsed="false">
      <c r="B38" s="4" t="s">
        <v>121</v>
      </c>
      <c r="C38" s="26" t="n">
        <f aca="false">C36*C37*(1+$C$5)</f>
        <v>0.75250506117108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3" t="s">
        <v>122</v>
      </c>
    </row>
    <row r="3" customFormat="false" ht="15" hidden="false" customHeight="false" outlineLevel="0" collapsed="false">
      <c r="A3" s="4" t="s">
        <v>123</v>
      </c>
    </row>
    <row r="5" customFormat="false" ht="15" hidden="false" customHeight="false" outlineLevel="0" collapsed="false">
      <c r="A5" s="4" t="s">
        <v>124</v>
      </c>
      <c r="C5" s="28" t="n">
        <f aca="false">Расходы!J4</f>
        <v>1.8825</v>
      </c>
    </row>
    <row r="6" customFormat="false" ht="15" hidden="false" customHeight="false" outlineLevel="0" collapsed="false">
      <c r="A6" s="4" t="s">
        <v>125</v>
      </c>
      <c r="C6" s="28" t="n">
        <f aca="false">Расходы!N4</f>
        <v>2.58355555555556</v>
      </c>
    </row>
    <row r="7" customFormat="false" ht="15" hidden="false" customHeight="false" outlineLevel="0" collapsed="false">
      <c r="A7" s="4" t="s">
        <v>126</v>
      </c>
      <c r="C7" s="10" t="n">
        <f aca="false">INDEX(T121_DN,MATCH(TRUE(),T121_OK,0))</f>
        <v>40</v>
      </c>
    </row>
    <row r="8" customFormat="false" ht="15" hidden="false" customHeight="false" outlineLevel="0" collapsed="false">
      <c r="A8" s="4" t="s">
        <v>127</v>
      </c>
      <c r="C8" s="17" t="n">
        <f aca="false">INDEX(T121_S,MATCH(C7,T121_DN,0))</f>
        <v>0.5</v>
      </c>
    </row>
    <row r="9" customFormat="false" ht="15" hidden="false" customHeight="false" outlineLevel="0" collapsed="false">
      <c r="A9" s="4" t="s">
        <v>128</v>
      </c>
      <c r="C9" s="16" t="n">
        <f aca="false">C8*C6^2</f>
        <v>3.33737965432099</v>
      </c>
    </row>
    <row r="11" customFormat="false" ht="15" hidden="false" customHeight="false" outlineLevel="0" collapsed="false">
      <c r="A11" s="4" t="s">
        <v>129</v>
      </c>
    </row>
    <row r="12" customFormat="false" ht="15" hidden="false" customHeight="false" outlineLevel="0" collapsed="false">
      <c r="A12" s="4" t="s">
        <v>130</v>
      </c>
      <c r="C12" s="13" t="n">
        <f aca="false">Исходные!C15</f>
        <v>4</v>
      </c>
    </row>
    <row r="13" customFormat="false" ht="15" hidden="false" customHeight="false" outlineLevel="0" collapsed="false">
      <c r="A13" s="4" t="s">
        <v>131</v>
      </c>
      <c r="C13" s="17" t="n">
        <f aca="false">IF(AND(Расходы!K6&gt;0.1,C12&lt;=200),((1-MIN(1,(MAX(C12,INDEX(B1_N,1))-INDEX(B1_N,MIN(MATCH(MAX(C12,INDEX(B1_N,1)),B1_N,1),ROWS(B1_N)-1)))/(INDEX(B1_N,MIN(MATCH(MAX(C12,INDEX(B1_N,1)),B1_N,1),ROWS(B1_N)-1)+1)-INDEX(B1_N,MIN(MATCH(MAX(C12,INDEX(B1_N,1)),B1_N,1),ROWS(B1_N)-1)))))*((1-MIN(1,(Расходы!K6-INDEX(B1_P,1,MIN(MATCH(Расходы!K6,B1_P,1),COLUMNS(B1_P)-1)))/(INDEX(B1_P,1,MIN(MATCH(Расходы!K6,B1_P,1),COLUMNS(B1_P)-1)+1)-INDEX(B1_P,1,MIN(MATCH(Расходы!K6,B1_P,1),COLUMNS(B1_P)-1)))))*INDEX(B1_G,MIN(MATCH(MAX(C12,INDEX(B1_N,1)),B1_N,1),ROWS(B1_N)-1),MIN(MATCH(Расходы!K6,B1_P,1),COLUMNS(B1_P)-1))+MIN(1,(Расходы!K6-INDEX(B1_P,1,MIN(MATCH(Расходы!K6,B1_P,1),COLUMNS(B1_P)-1)))/(INDEX(B1_P,1,MIN(MATCH(Расходы!K6,B1_P,1),COLUMNS(B1_P)-1)+1)-INDEX(B1_P,1,MIN(MATCH(Расходы!K6,B1_P,1),COLUMNS(B1_P)-1))))*INDEX(B1_G,MIN(MATCH(MAX(C12,INDEX(B1_N,1)),B1_N,1),ROWS(B1_N)-1),MIN(MATCH(Расходы!K6,B1_P,1),COLUMNS(B1_P)-1)+1))+MIN(1,(MAX(C12,INDEX(B1_N,1))-INDEX(B1_N,MIN(MATCH(MAX(C12,INDEX(B1_N,1)),B1_N,1),ROWS(B1_N)-1)))/(INDEX(B1_N,MIN(MATCH(MAX(C12,INDEX(B1_N,1)),B1_N,1),ROWS(B1_N)-1)+1)-INDEX(B1_N,MIN(MATCH(MAX(C12,INDEX(B1_N,1)),B1_N,1),ROWS(B1_N)-1))))*((1-MIN(1,(Расходы!K6-INDEX(B1_P,1,MIN(MATCH(Расходы!K6,B1_P,1),COLUMNS(B1_P)-1)))/(INDEX(B1_P,1,MIN(MATCH(Расходы!K6,B1_P,1),COLUMNS(B1_P)-1)+1)-INDEX(B1_P,1,MIN(MATCH(Расходы!K6,B1_P,1),COLUMNS(B1_P)-1)))))*INDEX(B1_G,MIN(MATCH(MAX(C12,INDEX(B1_N,1)),B1_N,1),ROWS(B1_N)-1)+1,MIN(MATCH(Расходы!K6,B1_P,1),COLUMNS(B1_P)-1))+MIN(1,(Расходы!K6-INDEX(B1_P,1,MIN(MATCH(Расходы!K6,B1_P,1),COLUMNS(B1_P)-1)))/(INDEX(B1_P,1,MIN(MATCH(Расходы!K6,B1_P,1),COLUMNS(B1_P)-1)+1)-INDEX(B1_P,1,MIN(MATCH(Расходы!K6,B1_P,1),COLUMNS(B1_P)-1))))*INDEX(B1_G,MIN(MATCH(MAX(C12,INDEX(B1_N,1)),B1_N,1),ROWS(B1_N)-1)+1,MIN(MATCH(Расходы!K6,B1_P,1),COLUMNS(B1_P)-1)+1))),IF((C12*Расходы!K6)&lt;INDEX(B2_NP,1),0.2,IF((C12*Расходы!K6)&gt;=INDEX(B2_NP,ROWS(B2_NP)),INDEX(B2_A,ROWS(B2_NP)),INDEX(B2_A,MATCH((C12*Расходы!K6),B2_NP,1))+((C12*Расходы!K6)-INDEX(B2_NP,MATCH((C12*Расходы!K6),B2_NP,1)))*(INDEX(B2_A,MATCH((C12*Расходы!K6),B2_NP,1)+1)-INDEX(B2_A,MATCH((C12*Расходы!K6),B2_NP,1)))/(INDEX(B2_NP,MATCH((C12*Расходы!K6),B2_NP,1)+1)-INDEX(B2_NP,MATCH((C12*Расходы!K6),B2_NP,1))))))</f>
        <v>0.229876262626263</v>
      </c>
    </row>
    <row r="14" customFormat="false" ht="15" hidden="false" customHeight="false" outlineLevel="0" collapsed="false">
      <c r="A14" s="4" t="s">
        <v>132</v>
      </c>
      <c r="C14" s="17" t="n">
        <f aca="false">5*Расходы!G6*C13</f>
        <v>0.229876262626263</v>
      </c>
    </row>
    <row r="15" customFormat="false" ht="15" hidden="false" customHeight="false" outlineLevel="0" collapsed="false">
      <c r="A15" s="4" t="s">
        <v>133</v>
      </c>
      <c r="C15" s="16" t="n">
        <f aca="false">14.5*C14^2</f>
        <v>0.766224893725768</v>
      </c>
    </row>
    <row r="17" customFormat="false" ht="25.35" hidden="false" customHeight="false" outlineLevel="0" collapsed="false">
      <c r="A17" s="4" t="s">
        <v>134</v>
      </c>
    </row>
    <row r="18" customFormat="false" ht="15" hidden="false" customHeight="false" outlineLevel="0" collapsed="false">
      <c r="A18" s="4" t="s">
        <v>135</v>
      </c>
      <c r="C18" s="29" t="n">
        <v>-0.5</v>
      </c>
    </row>
    <row r="19" customFormat="false" ht="15" hidden="false" customHeight="false" outlineLevel="0" collapsed="false">
      <c r="A19" s="4" t="s">
        <v>136</v>
      </c>
      <c r="C19" s="17" t="n">
        <f aca="false">C18-(Исходные!B9+0.5)</f>
        <v>-2.7</v>
      </c>
    </row>
    <row r="20" customFormat="false" ht="15" hidden="false" customHeight="false" outlineLevel="0" collapsed="false">
      <c r="A20" s="4" t="s">
        <v>137</v>
      </c>
      <c r="C20" s="7" t="n">
        <v>1.95</v>
      </c>
    </row>
    <row r="21" customFormat="false" ht="15" hidden="false" customHeight="false" outlineLevel="0" collapsed="false">
      <c r="A21" s="4" t="s">
        <v>138</v>
      </c>
      <c r="C21" s="17" t="n">
        <f aca="false">(Исходные!B3-1)*Исходные!B6+C20</f>
        <v>33.95</v>
      </c>
    </row>
    <row r="22" customFormat="false" ht="15" hidden="false" customHeight="false" outlineLevel="0" collapsed="false">
      <c r="A22" s="4" t="s">
        <v>139</v>
      </c>
      <c r="C22" s="16" t="n">
        <f aca="false">C21-C19</f>
        <v>36.65</v>
      </c>
    </row>
    <row r="23" customFormat="false" ht="15" hidden="false" customHeight="false" outlineLevel="0" collapsed="false">
      <c r="A23" s="4" t="s">
        <v>140</v>
      </c>
      <c r="C23" s="15" t="n">
        <f aca="false">В1!$M$26</f>
        <v>9.31507206627397</v>
      </c>
    </row>
    <row r="24" customFormat="false" ht="15" hidden="false" customHeight="false" outlineLevel="0" collapsed="false">
      <c r="A24" s="4" t="s">
        <v>141</v>
      </c>
      <c r="C24" s="6" t="n">
        <v>20</v>
      </c>
    </row>
    <row r="25" customFormat="false" ht="15" hidden="false" customHeight="false" outlineLevel="0" collapsed="false">
      <c r="A25" s="4" t="s">
        <v>142</v>
      </c>
      <c r="C25" s="16" t="n">
        <f aca="false">C9+C15</f>
        <v>4.10360454804675</v>
      </c>
    </row>
    <row r="26" customFormat="false" ht="15" hidden="false" customHeight="false" outlineLevel="0" collapsed="false">
      <c r="A26" s="4" t="s">
        <v>143</v>
      </c>
      <c r="C26" s="15" t="n">
        <f aca="false">В1!$C$38</f>
        <v>0.75250506117108</v>
      </c>
    </row>
    <row r="27" customFormat="false" ht="15" hidden="false" customHeight="false" outlineLevel="0" collapsed="false">
      <c r="A27" s="4" t="s">
        <v>144</v>
      </c>
      <c r="C27" s="26" t="n">
        <f aca="false">C22+C23+C24+C25+C26</f>
        <v>70.8211816754918</v>
      </c>
    </row>
    <row r="28" customFormat="false" ht="15" hidden="false" customHeight="false" outlineLevel="0" collapsed="false">
      <c r="A28" s="4" t="s">
        <v>145</v>
      </c>
      <c r="C28" s="14" t="n">
        <f aca="false">Исходные!B8</f>
        <v>14</v>
      </c>
    </row>
    <row r="29" customFormat="false" ht="15" hidden="false" customHeight="false" outlineLevel="0" collapsed="false">
      <c r="A29" s="4" t="s">
        <v>146</v>
      </c>
      <c r="C29" s="26" t="n">
        <f aca="false">MAX(0,C27-C28)</f>
        <v>56.8211816754918</v>
      </c>
    </row>
    <row r="30" customFormat="false" ht="15" hidden="false" customHeight="false" outlineLevel="0" collapsed="false">
      <c r="A30" s="4" t="s">
        <v>147</v>
      </c>
      <c r="C30" s="26" t="n">
        <f aca="false">Расходы!N4*3.6</f>
        <v>9.3008</v>
      </c>
    </row>
    <row r="32" customFormat="false" ht="25.35" hidden="false" customHeight="false" outlineLevel="0" collapsed="false">
      <c r="A32" s="4" t="s">
        <v>148</v>
      </c>
    </row>
    <row r="33" customFormat="false" ht="15" hidden="false" customHeight="false" outlineLevel="0" collapsed="false">
      <c r="B33" s="9" t="s">
        <v>149</v>
      </c>
      <c r="C33" s="9" t="s">
        <v>150</v>
      </c>
      <c r="D33" s="9" t="s">
        <v>151</v>
      </c>
    </row>
    <row r="34" customFormat="false" ht="15" hidden="false" customHeight="false" outlineLevel="0" collapsed="false">
      <c r="B34" s="22" t="n">
        <v>1</v>
      </c>
      <c r="C34" s="24" t="n">
        <f aca="false">$C$28+$C$29-((B34-1)*Исходные!$B$6+0.8-$C$19)</f>
        <v>67.3211816754918</v>
      </c>
      <c r="D34" s="25" t="str">
        <f aca="false">IF(C34&gt;45,"нужен","не нужен")</f>
        <v>нужен</v>
      </c>
    </row>
    <row r="35" customFormat="false" ht="15" hidden="false" customHeight="false" outlineLevel="0" collapsed="false">
      <c r="B35" s="22" t="n">
        <v>2</v>
      </c>
      <c r="C35" s="24" t="n">
        <f aca="false">$C$28+$C$29-((B35-1)*Исходные!$B$6+0.8-$C$19)</f>
        <v>64.1211816754918</v>
      </c>
      <c r="D35" s="25" t="str">
        <f aca="false">IF(C35&gt;45,"нужен","не нужен")</f>
        <v>нужен</v>
      </c>
    </row>
    <row r="36" customFormat="false" ht="15" hidden="false" customHeight="false" outlineLevel="0" collapsed="false">
      <c r="B36" s="22" t="n">
        <v>3</v>
      </c>
      <c r="C36" s="24" t="n">
        <f aca="false">$C$28+$C$29-((B36-1)*Исходные!$B$6+0.8-$C$19)</f>
        <v>60.9211816754918</v>
      </c>
      <c r="D36" s="25" t="str">
        <f aca="false">IF(C36&gt;45,"нужен","не нужен")</f>
        <v>нужен</v>
      </c>
    </row>
    <row r="37" customFormat="false" ht="15" hidden="false" customHeight="false" outlineLevel="0" collapsed="false">
      <c r="B37" s="22" t="n">
        <v>4</v>
      </c>
      <c r="C37" s="24" t="n">
        <f aca="false">$C$28+$C$29-((B37-1)*Исходные!$B$6+0.8-$C$19)</f>
        <v>57.7211816754918</v>
      </c>
      <c r="D37" s="25" t="str">
        <f aca="false">IF(C37&gt;45,"нужен","не нужен")</f>
        <v>нужен</v>
      </c>
    </row>
    <row r="38" customFormat="false" ht="15" hidden="false" customHeight="false" outlineLevel="0" collapsed="false">
      <c r="B38" s="22" t="n">
        <v>5</v>
      </c>
      <c r="C38" s="24" t="n">
        <f aca="false">$C$28+$C$29-((B38-1)*Исходные!$B$6+0.8-$C$19)</f>
        <v>54.5211816754918</v>
      </c>
      <c r="D38" s="25" t="str">
        <f aca="false">IF(C38&gt;45,"нужен","не нужен")</f>
        <v>нужен</v>
      </c>
    </row>
    <row r="39" customFormat="false" ht="15" hidden="false" customHeight="false" outlineLevel="0" collapsed="false">
      <c r="B39" s="22" t="n">
        <v>6</v>
      </c>
      <c r="C39" s="24" t="n">
        <f aca="false">$C$28+$C$29-((B39-1)*Исходные!$B$6+0.8-$C$19)</f>
        <v>51.3211816754918</v>
      </c>
      <c r="D39" s="25" t="str">
        <f aca="false">IF(C39&gt;45,"нужен","не нужен")</f>
        <v>нужен</v>
      </c>
    </row>
    <row r="40" customFormat="false" ht="15" hidden="false" customHeight="false" outlineLevel="0" collapsed="false">
      <c r="B40" s="22" t="n">
        <v>7</v>
      </c>
      <c r="C40" s="24" t="n">
        <f aca="false">$C$28+$C$29-((B40-1)*Исходные!$B$6+0.8-$C$19)</f>
        <v>48.1211816754918</v>
      </c>
      <c r="D40" s="25" t="str">
        <f aca="false">IF(C40&gt;45,"нужен","не нужен")</f>
        <v>нужен</v>
      </c>
    </row>
    <row r="41" customFormat="false" ht="15" hidden="false" customHeight="false" outlineLevel="0" collapsed="false">
      <c r="B41" s="22" t="n">
        <v>8</v>
      </c>
      <c r="C41" s="24" t="n">
        <f aca="false">$C$28+$C$29-((B41-1)*Исходные!$B$6+0.8-$C$19)</f>
        <v>44.9211816754918</v>
      </c>
      <c r="D41" s="25" t="str">
        <f aca="false">IF(C41&gt;45,"нужен","не нужен")</f>
        <v>не нужен</v>
      </c>
    </row>
    <row r="42" customFormat="false" ht="15" hidden="false" customHeight="false" outlineLevel="0" collapsed="false">
      <c r="B42" s="22" t="n">
        <v>9</v>
      </c>
      <c r="C42" s="24" t="n">
        <f aca="false">$C$28+$C$29-((B42-1)*Исходные!$B$6+0.8-$C$19)</f>
        <v>41.7211816754918</v>
      </c>
      <c r="D42" s="25" t="str">
        <f aca="false">IF(C42&gt;45,"нужен","не нужен")</f>
        <v>не нужен</v>
      </c>
    </row>
    <row r="43" customFormat="false" ht="15" hidden="false" customHeight="false" outlineLevel="0" collapsed="false">
      <c r="B43" s="22" t="n">
        <v>10</v>
      </c>
      <c r="C43" s="24" t="n">
        <f aca="false">$C$28+$C$29-((B43-1)*Исходные!$B$6+0.8-$C$19)</f>
        <v>38.5211816754918</v>
      </c>
      <c r="D43" s="25" t="str">
        <f aca="false">IF(C43&gt;45,"нужен","не нужен")</f>
        <v>не нужен</v>
      </c>
    </row>
    <row r="44" customFormat="false" ht="15" hidden="false" customHeight="false" outlineLevel="0" collapsed="false">
      <c r="B44" s="22" t="n">
        <v>11</v>
      </c>
      <c r="C44" s="24" t="n">
        <f aca="false">$C$28+$C$29-((B44-1)*Исходные!$B$6+0.8-$C$19)</f>
        <v>35.3211816754918</v>
      </c>
      <c r="D44" s="25" t="str">
        <f aca="false">IF(C44&gt;45,"нужен","не нужен")</f>
        <v>не нужен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8"/>
    <col collapsed="false" customWidth="true" hidden="false" outlineLevel="0" max="10" min="4" style="0" width="9"/>
    <col collapsed="false" customWidth="true" hidden="false" outlineLevel="0" max="11" min="11" style="0" width="8"/>
    <col collapsed="false" customWidth="true" hidden="false" outlineLevel="0" max="15" min="12" style="0" width="9"/>
    <col collapsed="false" customWidth="true" hidden="false" outlineLevel="0" max="17" min="16" style="0" width="10"/>
  </cols>
  <sheetData>
    <row r="1" customFormat="false" ht="16.15" hidden="false" customHeight="false" outlineLevel="0" collapsed="false">
      <c r="A1" s="3" t="s">
        <v>152</v>
      </c>
    </row>
    <row r="3" customFormat="false" ht="37.3" hidden="false" customHeight="false" outlineLevel="0" collapsed="false">
      <c r="A3" s="4" t="s">
        <v>153</v>
      </c>
    </row>
    <row r="4" customFormat="false" ht="25.35" hidden="false" customHeight="false" outlineLevel="0" collapsed="false">
      <c r="A4" s="9" t="s">
        <v>154</v>
      </c>
      <c r="B4" s="9" t="s">
        <v>56</v>
      </c>
      <c r="C4" s="9" t="s">
        <v>155</v>
      </c>
      <c r="D4" s="9" t="s">
        <v>65</v>
      </c>
      <c r="E4" s="9" t="s">
        <v>114</v>
      </c>
      <c r="F4" s="9" t="s">
        <v>156</v>
      </c>
      <c r="G4" s="9" t="s">
        <v>157</v>
      </c>
      <c r="H4" s="9" t="s">
        <v>158</v>
      </c>
      <c r="I4" s="9" t="s">
        <v>159</v>
      </c>
    </row>
    <row r="5" customFormat="false" ht="15" hidden="false" customHeight="false" outlineLevel="0" collapsed="false">
      <c r="A5" s="8" t="s">
        <v>160</v>
      </c>
      <c r="B5" s="5" t="n">
        <v>44</v>
      </c>
      <c r="C5" s="17" t="n">
        <f aca="false">B5*Расходы!$K$4</f>
        <v>0.449320987654321</v>
      </c>
      <c r="D5" s="17" t="n">
        <f aca="false">IF(AND(Расходы!$K$4&gt;0.1,B5&lt;=200),((1-MIN(1,(MAX(B5,INDEX(B1_N,1))-INDEX(B1_N,MIN(MATCH(MAX(B5,INDEX(B1_N,1)),B1_N,1),ROWS(B1_N)-1)))/(INDEX(B1_N,MIN(MATCH(MAX(B5,INDEX(B1_N,1)),B1_N,1),ROWS(B1_N)-1)+1)-INDEX(B1_N,MIN(MATCH(MAX(B5,INDEX(B1_N,1)),B1_N,1),ROWS(B1_N)-1)))))*((1-MIN(1,(Расходы!$K$4-INDEX(B1_P,1,MIN(MATCH(Расходы!$K$4,B1_P,1),COLUMNS(B1_P)-1)))/(INDEX(B1_P,1,MIN(MATCH(Расходы!$K$4,B1_P,1),COLUMNS(B1_P)-1)+1)-INDEX(B1_P,1,MIN(MATCH(Расходы!$K$4,B1_P,1),COLUMNS(B1_P)-1)))))*INDEX(B1_G,MIN(MATCH(MAX(B5,INDEX(B1_N,1)),B1_N,1),ROWS(B1_N)-1),MIN(MATCH(Расходы!$K$4,B1_P,1),COLUMNS(B1_P)-1))+MIN(1,(Расходы!$K$4-INDEX(B1_P,1,MIN(MATCH(Расходы!$K$4,B1_P,1),COLUMNS(B1_P)-1)))/(INDEX(B1_P,1,MIN(MATCH(Расходы!$K$4,B1_P,1),COLUMNS(B1_P)-1)+1)-INDEX(B1_P,1,MIN(MATCH(Расходы!$K$4,B1_P,1),COLUMNS(B1_P)-1))))*INDEX(B1_G,MIN(MATCH(MAX(B5,INDEX(B1_N,1)),B1_N,1),ROWS(B1_N)-1),MIN(MATCH(Расходы!$K$4,B1_P,1),COLUMNS(B1_P)-1)+1))+MIN(1,(MAX(B5,INDEX(B1_N,1))-INDEX(B1_N,MIN(MATCH(MAX(B5,INDEX(B1_N,1)),B1_N,1),ROWS(B1_N)-1)))/(INDEX(B1_N,MIN(MATCH(MAX(B5,INDEX(B1_N,1)),B1_N,1),ROWS(B1_N)-1)+1)-INDEX(B1_N,MIN(MATCH(MAX(B5,INDEX(B1_N,1)),B1_N,1),ROWS(B1_N)-1))))*((1-MIN(1,(Расходы!$K$4-INDEX(B1_P,1,MIN(MATCH(Расходы!$K$4,B1_P,1),COLUMNS(B1_P)-1)))/(INDEX(B1_P,1,MIN(MATCH(Расходы!$K$4,B1_P,1),COLUMNS(B1_P)-1)+1)-INDEX(B1_P,1,MIN(MATCH(Расходы!$K$4,B1_P,1),COLUMNS(B1_P)-1)))))*INDEX(B1_G,MIN(MATCH(MAX(B5,INDEX(B1_N,1)),B1_N,1),ROWS(B1_N)-1)+1,MIN(MATCH(Расходы!$K$4,B1_P,1),COLUMNS(B1_P)-1))+MIN(1,(Расходы!$K$4-INDEX(B1_P,1,MIN(MATCH(Расходы!$K$4,B1_P,1),COLUMNS(B1_P)-1)))/(INDEX(B1_P,1,MIN(MATCH(Расходы!$K$4,B1_P,1),COLUMNS(B1_P)-1)+1)-INDEX(B1_P,1,MIN(MATCH(Расходы!$K$4,B1_P,1),COLUMNS(B1_P)-1))))*INDEX(B1_G,MIN(MATCH(MAX(B5,INDEX(B1_N,1)),B1_N,1),ROWS(B1_N)-1)+1,MIN(MATCH(Расходы!$K$4,B1_P,1),COLUMNS(B1_P)-1)+1))),IF((B5*Расходы!$K$4)&lt;INDEX(B2_NP,1),0.2,IF((B5*Расходы!$K$4)&gt;=INDEX(B2_NP,ROWS(B2_NP)),INDEX(B2_A,ROWS(B2_NP)),INDEX(B2_A,MATCH((B5*Расходы!$K$4),B2_NP,1))+((B5*Расходы!$K$4)-INDEX(B2_NP,MATCH((B5*Расходы!$K$4),B2_NP,1)))*(INDEX(B2_A,MATCH((B5*Расходы!$K$4),B2_NP,1)+1)-INDEX(B2_A,MATCH((B5*Расходы!$K$4),B2_NP,1)))/(INDEX(B2_NP,MATCH((B5*Расходы!$K$4),B2_NP,1)+1)-INDEX(B2_NP,MATCH((B5*Расходы!$K$4),B2_NP,1))))))</f>
        <v>0.644524691358025</v>
      </c>
      <c r="E5" s="17" t="n">
        <f aca="false">5*Расходы!$G$4*D5</f>
        <v>0.966787037037037</v>
      </c>
      <c r="F5" s="6" t="n">
        <v>1.6</v>
      </c>
      <c r="G5" s="17" t="n">
        <f aca="false">E5+F5</f>
        <v>2.56678703703704</v>
      </c>
      <c r="H5" s="7" t="n">
        <v>5.85</v>
      </c>
      <c r="I5" s="25" t="str">
        <f aca="false">IF(G5&lt;=H5,"обеспечена","НЕ обеспечена")</f>
        <v>обеспечена</v>
      </c>
    </row>
    <row r="6" customFormat="false" ht="15" hidden="false" customHeight="false" outlineLevel="0" collapsed="false">
      <c r="A6" s="8" t="s">
        <v>161</v>
      </c>
      <c r="B6" s="5" t="n">
        <v>88</v>
      </c>
      <c r="C6" s="17" t="n">
        <f aca="false">B6*Расходы!$K$4</f>
        <v>0.898641975308642</v>
      </c>
      <c r="D6" s="17" t="n">
        <f aca="false">IF(AND(Расходы!$K$4&gt;0.1,B6&lt;=200),((1-MIN(1,(MAX(B6,INDEX(B1_N,1))-INDEX(B1_N,MIN(MATCH(MAX(B6,INDEX(B1_N,1)),B1_N,1),ROWS(B1_N)-1)))/(INDEX(B1_N,MIN(MATCH(MAX(B6,INDEX(B1_N,1)),B1_N,1),ROWS(B1_N)-1)+1)-INDEX(B1_N,MIN(MATCH(MAX(B6,INDEX(B1_N,1)),B1_N,1),ROWS(B1_N)-1)))))*((1-MIN(1,(Расходы!$K$4-INDEX(B1_P,1,MIN(MATCH(Расходы!$K$4,B1_P,1),COLUMNS(B1_P)-1)))/(INDEX(B1_P,1,MIN(MATCH(Расходы!$K$4,B1_P,1),COLUMNS(B1_P)-1)+1)-INDEX(B1_P,1,MIN(MATCH(Расходы!$K$4,B1_P,1),COLUMNS(B1_P)-1)))))*INDEX(B1_G,MIN(MATCH(MAX(B6,INDEX(B1_N,1)),B1_N,1),ROWS(B1_N)-1),MIN(MATCH(Расходы!$K$4,B1_P,1),COLUMNS(B1_P)-1))+MIN(1,(Расходы!$K$4-INDEX(B1_P,1,MIN(MATCH(Расходы!$K$4,B1_P,1),COLUMNS(B1_P)-1)))/(INDEX(B1_P,1,MIN(MATCH(Расходы!$K$4,B1_P,1),COLUMNS(B1_P)-1)+1)-INDEX(B1_P,1,MIN(MATCH(Расходы!$K$4,B1_P,1),COLUMNS(B1_P)-1))))*INDEX(B1_G,MIN(MATCH(MAX(B6,INDEX(B1_N,1)),B1_N,1),ROWS(B1_N)-1),MIN(MATCH(Расходы!$K$4,B1_P,1),COLUMNS(B1_P)-1)+1))+MIN(1,(MAX(B6,INDEX(B1_N,1))-INDEX(B1_N,MIN(MATCH(MAX(B6,INDEX(B1_N,1)),B1_N,1),ROWS(B1_N)-1)))/(INDEX(B1_N,MIN(MATCH(MAX(B6,INDEX(B1_N,1)),B1_N,1),ROWS(B1_N)-1)+1)-INDEX(B1_N,MIN(MATCH(MAX(B6,INDEX(B1_N,1)),B1_N,1),ROWS(B1_N)-1))))*((1-MIN(1,(Расходы!$K$4-INDEX(B1_P,1,MIN(MATCH(Расходы!$K$4,B1_P,1),COLUMNS(B1_P)-1)))/(INDEX(B1_P,1,MIN(MATCH(Расходы!$K$4,B1_P,1),COLUMNS(B1_P)-1)+1)-INDEX(B1_P,1,MIN(MATCH(Расходы!$K$4,B1_P,1),COLUMNS(B1_P)-1)))))*INDEX(B1_G,MIN(MATCH(MAX(B6,INDEX(B1_N,1)),B1_N,1),ROWS(B1_N)-1)+1,MIN(MATCH(Расходы!$K$4,B1_P,1),COLUMNS(B1_P)-1))+MIN(1,(Расходы!$K$4-INDEX(B1_P,1,MIN(MATCH(Расходы!$K$4,B1_P,1),COLUMNS(B1_P)-1)))/(INDEX(B1_P,1,MIN(MATCH(Расходы!$K$4,B1_P,1),COLUMNS(B1_P)-1)+1)-INDEX(B1_P,1,MIN(MATCH(Расходы!$K$4,B1_P,1),COLUMNS(B1_P)-1))))*INDEX(B1_G,MIN(MATCH(MAX(B6,INDEX(B1_N,1)),B1_N,1),ROWS(B1_N)-1)+1,MIN(MATCH(Расходы!$K$4,B1_P,1),COLUMNS(B1_P)-1)+1))),IF((B6*Расходы!$K$4)&lt;INDEX(B2_NP,1),0.2,IF((B6*Расходы!$K$4)&gt;=INDEX(B2_NP,ROWS(B2_NP)),INDEX(B2_A,ROWS(B2_NP)),INDEX(B2_A,MATCH((B6*Расходы!$K$4),B2_NP,1))+((B6*Расходы!$K$4)-INDEX(B2_NP,MATCH((B6*Расходы!$K$4),B2_NP,1)))*(INDEX(B2_A,MATCH((B6*Расходы!$K$4),B2_NP,1)+1)-INDEX(B2_A,MATCH((B6*Расходы!$K$4),B2_NP,1)))/(INDEX(B2_NP,MATCH((B6*Расходы!$K$4),B2_NP,1)+1)-INDEX(B2_NP,MATCH((B6*Расходы!$K$4),B2_NP,1))))))</f>
        <v>0.915253086419753</v>
      </c>
      <c r="E6" s="17" t="n">
        <f aca="false">5*Расходы!$G$4*D6</f>
        <v>1.37287962962963</v>
      </c>
      <c r="F6" s="6" t="n">
        <v>1.6</v>
      </c>
      <c r="G6" s="17" t="n">
        <f aca="false">E6+F6</f>
        <v>2.97287962962963</v>
      </c>
      <c r="H6" s="7" t="n">
        <v>5.85</v>
      </c>
      <c r="I6" s="25" t="str">
        <f aca="false">IF(G6&lt;=H6,"обеспечена","НЕ обеспечена")</f>
        <v>обеспечена</v>
      </c>
    </row>
    <row r="8" customFormat="false" ht="49.25" hidden="false" customHeight="false" outlineLevel="0" collapsed="false">
      <c r="A8" s="4" t="s">
        <v>162</v>
      </c>
    </row>
    <row r="9" customFormat="false" ht="15" hidden="false" customHeight="false" outlineLevel="0" collapsed="false">
      <c r="A9" s="4" t="s">
        <v>163</v>
      </c>
      <c r="B9" s="21" t="n">
        <f aca="false">Расходы!O4</f>
        <v>0.0367626262626263</v>
      </c>
      <c r="C9" s="9" t="s">
        <v>164</v>
      </c>
      <c r="D9" s="13" t="n">
        <f aca="false">Расходы!H4</f>
        <v>300</v>
      </c>
      <c r="E9" s="9" t="s">
        <v>165</v>
      </c>
      <c r="F9" s="6" t="n">
        <v>1.1</v>
      </c>
      <c r="G9" s="9" t="s">
        <v>166</v>
      </c>
      <c r="H9" s="29" t="n">
        <v>0.014</v>
      </c>
    </row>
    <row r="11" customFormat="false" ht="25.35" hidden="false" customHeight="false" outlineLevel="0" collapsed="false">
      <c r="A11" s="9" t="s">
        <v>86</v>
      </c>
      <c r="B11" s="9" t="s">
        <v>87</v>
      </c>
      <c r="C11" s="9" t="s">
        <v>56</v>
      </c>
      <c r="D11" s="9" t="s">
        <v>68</v>
      </c>
      <c r="E11" s="9" t="s">
        <v>69</v>
      </c>
      <c r="F11" s="9" t="s">
        <v>70</v>
      </c>
      <c r="G11" s="9" t="s">
        <v>167</v>
      </c>
      <c r="H11" s="9" t="s">
        <v>168</v>
      </c>
      <c r="I11" s="9" t="s">
        <v>169</v>
      </c>
      <c r="J11" s="9" t="s">
        <v>119</v>
      </c>
      <c r="K11" s="9" t="s">
        <v>170</v>
      </c>
      <c r="L11" s="9" t="s">
        <v>171</v>
      </c>
      <c r="M11" s="9" t="s">
        <v>172</v>
      </c>
      <c r="N11" s="9" t="s">
        <v>173</v>
      </c>
      <c r="O11" s="9" t="s">
        <v>174</v>
      </c>
      <c r="P11" s="9" t="s">
        <v>175</v>
      </c>
      <c r="Q11" s="9" t="s">
        <v>176</v>
      </c>
    </row>
    <row r="12" customFormat="false" ht="25.35" hidden="false" customHeight="false" outlineLevel="0" collapsed="false">
      <c r="A12" s="8" t="s">
        <v>177</v>
      </c>
      <c r="B12" s="7" t="n">
        <v>15.3</v>
      </c>
      <c r="C12" s="5" t="n">
        <v>88</v>
      </c>
      <c r="D12" s="17" t="n">
        <f aca="false">C12*$B$9</f>
        <v>3.23511111111111</v>
      </c>
      <c r="E12" s="17" t="n">
        <f aca="false">IF(AND($B$9&gt;0.1,C12&lt;=200),((1-MIN(1,(MAX(C12,INDEX(B1_N,1))-INDEX(B1_N,MIN(MATCH(MAX(C12,INDEX(B1_N,1)),B1_N,1),ROWS(B1_N)-1)))/(INDEX(B1_N,MIN(MATCH(MAX(C12,INDEX(B1_N,1)),B1_N,1),ROWS(B1_N)-1)+1)-INDEX(B1_N,MIN(MATCH(MAX(C12,INDEX(B1_N,1)),B1_N,1),ROWS(B1_N)-1)))))*((1-MIN(1,($B$9-INDEX(B1_P,1,MIN(MATCH($B$9,B1_P,1),COLUMNS(B1_P)-1)))/(INDEX(B1_P,1,MIN(MATCH($B$9,B1_P,1),COLUMNS(B1_P)-1)+1)-INDEX(B1_P,1,MIN(MATCH($B$9,B1_P,1),COLUMNS(B1_P)-1)))))*INDEX(B1_G,MIN(MATCH(MAX(C12,INDEX(B1_N,1)),B1_N,1),ROWS(B1_N)-1),MIN(MATCH($B$9,B1_P,1),COLUMNS(B1_P)-1))+MIN(1,($B$9-INDEX(B1_P,1,MIN(MATCH($B$9,B1_P,1),COLUMNS(B1_P)-1)))/(INDEX(B1_P,1,MIN(MATCH($B$9,B1_P,1),COLUMNS(B1_P)-1)+1)-INDEX(B1_P,1,MIN(MATCH($B$9,B1_P,1),COLUMNS(B1_P)-1))))*INDEX(B1_G,MIN(MATCH(MAX(C12,INDEX(B1_N,1)),B1_N,1),ROWS(B1_N)-1),MIN(MATCH($B$9,B1_P,1),COLUMNS(B1_P)-1)+1))+MIN(1,(MAX(C12,INDEX(B1_N,1))-INDEX(B1_N,MIN(MATCH(MAX(C12,INDEX(B1_N,1)),B1_N,1),ROWS(B1_N)-1)))/(INDEX(B1_N,MIN(MATCH(MAX(C12,INDEX(B1_N,1)),B1_N,1),ROWS(B1_N)-1)+1)-INDEX(B1_N,MIN(MATCH(MAX(C12,INDEX(B1_N,1)),B1_N,1),ROWS(B1_N)-1))))*((1-MIN(1,($B$9-INDEX(B1_P,1,MIN(MATCH($B$9,B1_P,1),COLUMNS(B1_P)-1)))/(INDEX(B1_P,1,MIN(MATCH($B$9,B1_P,1),COLUMNS(B1_P)-1)+1)-INDEX(B1_P,1,MIN(MATCH($B$9,B1_P,1),COLUMNS(B1_P)-1)))))*INDEX(B1_G,MIN(MATCH(MAX(C12,INDEX(B1_N,1)),B1_N,1),ROWS(B1_N)-1)+1,MIN(MATCH($B$9,B1_P,1),COLUMNS(B1_P)-1))+MIN(1,($B$9-INDEX(B1_P,1,MIN(MATCH($B$9,B1_P,1),COLUMNS(B1_P)-1)))/(INDEX(B1_P,1,MIN(MATCH($B$9,B1_P,1),COLUMNS(B1_P)-1)+1)-INDEX(B1_P,1,MIN(MATCH($B$9,B1_P,1),COLUMNS(B1_P)-1))))*INDEX(B1_G,MIN(MATCH(MAX(C12,INDEX(B1_N,1)),B1_N,1),ROWS(B1_N)-1)+1,MIN(MATCH($B$9,B1_P,1),COLUMNS(B1_P)-1)+1))),IF((C12*$B$9)&lt;INDEX(B2_NP,1),0.2,IF((C12*$B$9)&gt;=INDEX(B2_NP,ROWS(B2_NP)),INDEX(B2_A,ROWS(B2_NP)),INDEX(B2_A,MATCH((C12*$B$9),B2_NP,1))+((C12*$B$9)-INDEX(B2_NP,MATCH((C12*$B$9),B2_NP,1)))*(INDEX(B2_A,MATCH((C12*$B$9),B2_NP,1)+1)-INDEX(B2_A,MATCH((C12*$B$9),B2_NP,1)))/(INDEX(B2_NP,MATCH((C12*$B$9),B2_NP,1)+1)-INDEX(B2_NP,MATCH((C12*$B$9),B2_NP,1))))))</f>
        <v>1.92999111111111</v>
      </c>
      <c r="F12" s="17" t="n">
        <f aca="false">0.005*E12*$D$9</f>
        <v>2.89498666666667</v>
      </c>
      <c r="G12" s="16" t="n">
        <f aca="false">(1-MIN(1,(MAX(C12,INDEX(T51_N,1))-INDEX(T51_N,MIN(MATCH(MAX(C12,INDEX(T51_N,1)),T51_N,1),ROWS(T51_N)-1)))/(INDEX(T51_N,MIN(MATCH(MAX(C12,INDEX(T51_N,1)),T51_N,1),ROWS(T51_N)-1)+1)-INDEX(T51_N,MIN(MATCH(MAX(C12,INDEX(T51_N,1)),T51_N,1),ROWS(T51_N)-1)))))*((1-MIN(1,(MAX(B12,INDEX(T51_L,1,1))-INDEX(T51_L,1,MIN(MATCH(MAX(B12,INDEX(T51_L,1,1)),T51_L,1),COLUMNS(T51_L)-1)))/(INDEX(T51_L,1,MIN(MATCH(MAX(B12,INDEX(T51_L,1,1)),T51_L,1),COLUMNS(T51_L)-1)+1)-INDEX(T51_L,1,MIN(MATCH(MAX(B12,INDEX(T51_L,1,1)),T51_L,1),COLUMNS(T51_L)-1)))))*INDEX(T51_G,MIN(MATCH(MAX(C12,INDEX(T51_N,1)),T51_N,1),ROWS(T51_N)-1),MIN(MATCH(MAX(B12,INDEX(T51_L,1,1)),T51_L,1),COLUMNS(T51_L)-1))+MIN(1,(MAX(B12,INDEX(T51_L,1,1))-INDEX(T51_L,1,MIN(MATCH(MAX(B12,INDEX(T51_L,1,1)),T51_L,1),COLUMNS(T51_L)-1)))/(INDEX(T51_L,1,MIN(MATCH(MAX(B12,INDEX(T51_L,1,1)),T51_L,1),COLUMNS(T51_L)-1)+1)-INDEX(T51_L,1,MIN(MATCH(MAX(B12,INDEX(T51_L,1,1)),T51_L,1),COLUMNS(T51_L)-1))))*INDEX(T51_G,MIN(MATCH(MAX(C12,INDEX(T51_N,1)),T51_N,1),ROWS(T51_N)-1),MIN(MATCH(MAX(B12,INDEX(T51_L,1,1)),T51_L,1),COLUMNS(T51_L)-1)+1))+MIN(1,(MAX(C12,INDEX(T51_N,1))-INDEX(T51_N,MIN(MATCH(MAX(C12,INDEX(T51_N,1)),T51_N,1),ROWS(T51_N)-1)))/(INDEX(T51_N,MIN(MATCH(MAX(C12,INDEX(T51_N,1)),T51_N,1),ROWS(T51_N)-1)+1)-INDEX(T51_N,MIN(MATCH(MAX(C12,INDEX(T51_N,1)),T51_N,1),ROWS(T51_N)-1))))*((1-MIN(1,(MAX(B12,INDEX(T51_L,1,1))-INDEX(T51_L,1,MIN(MATCH(MAX(B12,INDEX(T51_L,1,1)),T51_L,1),COLUMNS(T51_L)-1)))/(INDEX(T51_L,1,MIN(MATCH(MAX(B12,INDEX(T51_L,1,1)),T51_L,1),COLUMNS(T51_L)-1)+1)-INDEX(T51_L,1,MIN(MATCH(MAX(B12,INDEX(T51_L,1,1)),T51_L,1),COLUMNS(T51_L)-1)))))*INDEX(T51_G,MIN(MATCH(MAX(C12,INDEX(T51_N,1)),T51_N,1),ROWS(T51_N)-1)+1,MIN(MATCH(MAX(B12,INDEX(T51_L,1,1)),T51_L,1),COLUMNS(T51_L)-1))+MIN(1,(MAX(B12,INDEX(T51_L,1,1))-INDEX(T51_L,1,MIN(MATCH(MAX(B12,INDEX(T51_L,1,1)),T51_L,1),COLUMNS(T51_L)-1)))/(INDEX(T51_L,1,MIN(MATCH(MAX(B12,INDEX(T51_L,1,1)),T51_L,1),COLUMNS(T51_L)-1)+1)-INDEX(T51_L,1,MIN(MATCH(MAX(B12,INDEX(T51_L,1,1)),T51_L,1),COLUMNS(T51_L)-1))))*INDEX(T51_G,MIN(MATCH(MAX(C12,INDEX(T51_N,1)),T51_N,1),ROWS(T51_N)-1)+1,MIN(MATCH(MAX(B12,INDEX(T51_L,1,1)),T51_L,1),COLUMNS(T51_L)-1)+1))</f>
        <v>0.5022</v>
      </c>
      <c r="H12" s="16" t="n">
        <f aca="false">F12/3.6+G12*$F$9</f>
        <v>1.35658296296296</v>
      </c>
      <c r="I12" s="5" t="n">
        <v>100</v>
      </c>
      <c r="J12" s="29" t="n">
        <v>0.02</v>
      </c>
      <c r="K12" s="6" t="n">
        <v>0.6</v>
      </c>
      <c r="L12" s="16" t="n">
        <f aca="false">IFERROR(INDEX(Павловский!$A$6:$A$91,MATCH(H12,Павловский!B$6:B$91,1))+(H12-INDEX(Павловский!B$6:B$91,MATCH(H12,Павловский!B$6:B$91,1)))*0.01/(INDEX(Павловский!B$6:B$91,MATCH(H12,Павловский!B$6:B$91,1)+1)-INDEX(Павловский!B$6:B$91,MATCH(H12,Павловский!B$6:B$91,1))),"вне таблицы")</f>
        <v>0.301567142494666</v>
      </c>
      <c r="M12" s="16" t="n">
        <f aca="false">(((I12/1000)^2/8*((2*ACOS(1-2*L12))-SIN((2*ACOS(1-2*L12)))))/((I12/1000)*(2*ACOS(1-2*L12))/2))^(2.5*SQRT($H$9)-0.13-0.75*SQRT((((I12/1000)^2/8*((2*ACOS(1-2*L12))-SIN((2*ACOS(1-2*L12)))))/((I12/1000)*(2*ACOS(1-2*L12))/2)))*(SQRT($H$9)-0.1))/$H$9*SQRT((((I12/1000)^2/8*((2*ACOS(1-2*L12))-SIN((2*ACOS(1-2*L12)))))/((I12/1000)*(2*ACOS(1-2*L12))/2))*J12)</f>
        <v>0.679556937231333</v>
      </c>
      <c r="N12" s="16" t="n">
        <f aca="false">M12*SQRT(L12)</f>
        <v>0.373179570680323</v>
      </c>
      <c r="O12" s="25" t="str">
        <f aca="false">IF(AND(N12&gt;=K12,M12&gt;=0.7,L12&gt;=0.3),"выполнено","безрасчётный, i ≥ 1/d")</f>
        <v>безрасчётный, i ≥ 1/d</v>
      </c>
      <c r="P12" s="16" t="n">
        <f aca="false">Q12+J12*B12</f>
        <v>99.443</v>
      </c>
      <c r="Q12" s="16" t="n">
        <f aca="false">P13</f>
        <v>99.137</v>
      </c>
    </row>
    <row r="13" customFormat="false" ht="25.35" hidden="false" customHeight="false" outlineLevel="0" collapsed="false">
      <c r="A13" s="8" t="s">
        <v>178</v>
      </c>
      <c r="B13" s="7" t="n">
        <v>11.85</v>
      </c>
      <c r="C13" s="5" t="n">
        <v>132</v>
      </c>
      <c r="D13" s="17" t="n">
        <f aca="false">C13*$B$9</f>
        <v>4.85266666666667</v>
      </c>
      <c r="E13" s="17" t="n">
        <f aca="false">IF(AND($B$9&gt;0.1,C13&lt;=200),((1-MIN(1,(MAX(C13,INDEX(B1_N,1))-INDEX(B1_N,MIN(MATCH(MAX(C13,INDEX(B1_N,1)),B1_N,1),ROWS(B1_N)-1)))/(INDEX(B1_N,MIN(MATCH(MAX(C13,INDEX(B1_N,1)),B1_N,1),ROWS(B1_N)-1)+1)-INDEX(B1_N,MIN(MATCH(MAX(C13,INDEX(B1_N,1)),B1_N,1),ROWS(B1_N)-1)))))*((1-MIN(1,($B$9-INDEX(B1_P,1,MIN(MATCH($B$9,B1_P,1),COLUMNS(B1_P)-1)))/(INDEX(B1_P,1,MIN(MATCH($B$9,B1_P,1),COLUMNS(B1_P)-1)+1)-INDEX(B1_P,1,MIN(MATCH($B$9,B1_P,1),COLUMNS(B1_P)-1)))))*INDEX(B1_G,MIN(MATCH(MAX(C13,INDEX(B1_N,1)),B1_N,1),ROWS(B1_N)-1),MIN(MATCH($B$9,B1_P,1),COLUMNS(B1_P)-1))+MIN(1,($B$9-INDEX(B1_P,1,MIN(MATCH($B$9,B1_P,1),COLUMNS(B1_P)-1)))/(INDEX(B1_P,1,MIN(MATCH($B$9,B1_P,1),COLUMNS(B1_P)-1)+1)-INDEX(B1_P,1,MIN(MATCH($B$9,B1_P,1),COLUMNS(B1_P)-1))))*INDEX(B1_G,MIN(MATCH(MAX(C13,INDEX(B1_N,1)),B1_N,1),ROWS(B1_N)-1),MIN(MATCH($B$9,B1_P,1),COLUMNS(B1_P)-1)+1))+MIN(1,(MAX(C13,INDEX(B1_N,1))-INDEX(B1_N,MIN(MATCH(MAX(C13,INDEX(B1_N,1)),B1_N,1),ROWS(B1_N)-1)))/(INDEX(B1_N,MIN(MATCH(MAX(C13,INDEX(B1_N,1)),B1_N,1),ROWS(B1_N)-1)+1)-INDEX(B1_N,MIN(MATCH(MAX(C13,INDEX(B1_N,1)),B1_N,1),ROWS(B1_N)-1))))*((1-MIN(1,($B$9-INDEX(B1_P,1,MIN(MATCH($B$9,B1_P,1),COLUMNS(B1_P)-1)))/(INDEX(B1_P,1,MIN(MATCH($B$9,B1_P,1),COLUMNS(B1_P)-1)+1)-INDEX(B1_P,1,MIN(MATCH($B$9,B1_P,1),COLUMNS(B1_P)-1)))))*INDEX(B1_G,MIN(MATCH(MAX(C13,INDEX(B1_N,1)),B1_N,1),ROWS(B1_N)-1)+1,MIN(MATCH($B$9,B1_P,1),COLUMNS(B1_P)-1))+MIN(1,($B$9-INDEX(B1_P,1,MIN(MATCH($B$9,B1_P,1),COLUMNS(B1_P)-1)))/(INDEX(B1_P,1,MIN(MATCH($B$9,B1_P,1),COLUMNS(B1_P)-1)+1)-INDEX(B1_P,1,MIN(MATCH($B$9,B1_P,1),COLUMNS(B1_P)-1))))*INDEX(B1_G,MIN(MATCH(MAX(C13,INDEX(B1_N,1)),B1_N,1),ROWS(B1_N)-1)+1,MIN(MATCH($B$9,B1_P,1),COLUMNS(B1_P)-1)+1))),IF((C13*$B$9)&lt;INDEX(B2_NP,1),0.2,IF((C13*$B$9)&gt;=INDEX(B2_NP,ROWS(B2_NP)),INDEX(B2_A,ROWS(B2_NP)),INDEX(B2_A,MATCH((C13*$B$9),B2_NP,1))+((C13*$B$9)-INDEX(B2_NP,MATCH((C13*$B$9),B2_NP,1)))*(INDEX(B2_A,MATCH((C13*$B$9),B2_NP,1)+1)-INDEX(B2_A,MATCH((C13*$B$9),B2_NP,1)))/(INDEX(B2_NP,MATCH((C13*$B$9),B2_NP,1)+1)-INDEX(B2_NP,MATCH((C13*$B$9),B2_NP,1))))))</f>
        <v>2.50790666666667</v>
      </c>
      <c r="F13" s="17" t="n">
        <f aca="false">0.005*E13*$D$9</f>
        <v>3.76186</v>
      </c>
      <c r="G13" s="16" t="n">
        <f aca="false">(1-MIN(1,(MAX(C13,INDEX(T51_N,1))-INDEX(T51_N,MIN(MATCH(MAX(C13,INDEX(T51_N,1)),T51_N,1),ROWS(T51_N)-1)))/(INDEX(T51_N,MIN(MATCH(MAX(C13,INDEX(T51_N,1)),T51_N,1),ROWS(T51_N)-1)+1)-INDEX(T51_N,MIN(MATCH(MAX(C13,INDEX(T51_N,1)),T51_N,1),ROWS(T51_N)-1)))))*((1-MIN(1,(MAX(B13,INDEX(T51_L,1,1))-INDEX(T51_L,1,MIN(MATCH(MAX(B13,INDEX(T51_L,1,1)),T51_L,1),COLUMNS(T51_L)-1)))/(INDEX(T51_L,1,MIN(MATCH(MAX(B13,INDEX(T51_L,1,1)),T51_L,1),COLUMNS(T51_L)-1)+1)-INDEX(T51_L,1,MIN(MATCH(MAX(B13,INDEX(T51_L,1,1)),T51_L,1),COLUMNS(T51_L)-1)))))*INDEX(T51_G,MIN(MATCH(MAX(C13,INDEX(T51_N,1)),T51_N,1),ROWS(T51_N)-1),MIN(MATCH(MAX(B13,INDEX(T51_L,1,1)),T51_L,1),COLUMNS(T51_L)-1))+MIN(1,(MAX(B13,INDEX(T51_L,1,1))-INDEX(T51_L,1,MIN(MATCH(MAX(B13,INDEX(T51_L,1,1)),T51_L,1),COLUMNS(T51_L)-1)))/(INDEX(T51_L,1,MIN(MATCH(MAX(B13,INDEX(T51_L,1,1)),T51_L,1),COLUMNS(T51_L)-1)+1)-INDEX(T51_L,1,MIN(MATCH(MAX(B13,INDEX(T51_L,1,1)),T51_L,1),COLUMNS(T51_L)-1))))*INDEX(T51_G,MIN(MATCH(MAX(C13,INDEX(T51_N,1)),T51_N,1),ROWS(T51_N)-1),MIN(MATCH(MAX(B13,INDEX(T51_L,1,1)),T51_L,1),COLUMNS(T51_L)-1)+1))+MIN(1,(MAX(C13,INDEX(T51_N,1))-INDEX(T51_N,MIN(MATCH(MAX(C13,INDEX(T51_N,1)),T51_N,1),ROWS(T51_N)-1)))/(INDEX(T51_N,MIN(MATCH(MAX(C13,INDEX(T51_N,1)),T51_N,1),ROWS(T51_N)-1)+1)-INDEX(T51_N,MIN(MATCH(MAX(C13,INDEX(T51_N,1)),T51_N,1),ROWS(T51_N)-1))))*((1-MIN(1,(MAX(B13,INDEX(T51_L,1,1))-INDEX(T51_L,1,MIN(MATCH(MAX(B13,INDEX(T51_L,1,1)),T51_L,1),COLUMNS(T51_L)-1)))/(INDEX(T51_L,1,MIN(MATCH(MAX(B13,INDEX(T51_L,1,1)),T51_L,1),COLUMNS(T51_L)-1)+1)-INDEX(T51_L,1,MIN(MATCH(MAX(B13,INDEX(T51_L,1,1)),T51_L,1),COLUMNS(T51_L)-1)))))*INDEX(T51_G,MIN(MATCH(MAX(C13,INDEX(T51_N,1)),T51_N,1),ROWS(T51_N)-1)+1,MIN(MATCH(MAX(B13,INDEX(T51_L,1,1)),T51_L,1),COLUMNS(T51_L)-1))+MIN(1,(MAX(B13,INDEX(T51_L,1,1))-INDEX(T51_L,1,MIN(MATCH(MAX(B13,INDEX(T51_L,1,1)),T51_L,1),COLUMNS(T51_L)-1)))/(INDEX(T51_L,1,MIN(MATCH(MAX(B13,INDEX(T51_L,1,1)),T51_L,1),COLUMNS(T51_L)-1)+1)-INDEX(T51_L,1,MIN(MATCH(MAX(B13,INDEX(T51_L,1,1)),T51_L,1),COLUMNS(T51_L)-1))))*INDEX(T51_G,MIN(MATCH(MAX(C13,INDEX(T51_N,1)),T51_N,1),ROWS(T51_N)-1)+1,MIN(MATCH(MAX(B13,INDEX(T51_L,1,1)),T51_L,1),COLUMNS(T51_L)-1)+1))</f>
        <v>0.569496</v>
      </c>
      <c r="H13" s="16" t="n">
        <f aca="false">F13/3.6+G13*$F$9</f>
        <v>1.67140671111111</v>
      </c>
      <c r="I13" s="5" t="n">
        <v>100</v>
      </c>
      <c r="J13" s="29" t="n">
        <v>0.02</v>
      </c>
      <c r="K13" s="6" t="n">
        <v>0.6</v>
      </c>
      <c r="L13" s="16" t="n">
        <f aca="false">IFERROR(INDEX(Павловский!$A$6:$A$91,MATCH(H13,Павловский!C$6:C$91,1))+(H13-INDEX(Павловский!C$6:C$91,MATCH(H13,Павловский!C$6:C$91,1)))*0.01/(INDEX(Павловский!C$6:C$91,MATCH(H13,Павловский!C$6:C$91,1)+1)-INDEX(Павловский!C$6:C$91,MATCH(H13,Павловский!C$6:C$91,1))),"вне таблицы")</f>
        <v>0.336220106707585</v>
      </c>
      <c r="M13" s="16" t="n">
        <f aca="false">(((I13/1000)^2/8*((2*ACOS(1-2*L13))-SIN((2*ACOS(1-2*L13)))))/((I13/1000)*(2*ACOS(1-2*L13))/2))^(2.5*SQRT($H$9)-0.13-0.75*SQRT((((I13/1000)^2/8*((2*ACOS(1-2*L13))-SIN((2*ACOS(1-2*L13)))))/((I13/1000)*(2*ACOS(1-2*L13))/2)))*(SQRT($H$9)-0.1))/$H$9*SQRT((((I13/1000)^2/8*((2*ACOS(1-2*L13))-SIN((2*ACOS(1-2*L13)))))/((I13/1000)*(2*ACOS(1-2*L13))/2))*J13)</f>
        <v>0.720651470812306</v>
      </c>
      <c r="N13" s="16" t="n">
        <f aca="false">M13*SQRT(L13)</f>
        <v>0.41786607919008</v>
      </c>
      <c r="O13" s="25" t="str">
        <f aca="false">IF(AND(N13&gt;=K13,M13&gt;=0.7,L13&gt;=0.3),"выполнено","безрасчётный, i ≥ 1/d")</f>
        <v>безрасчётный, i ≥ 1/d</v>
      </c>
      <c r="P13" s="16" t="n">
        <f aca="false">Q13+J13*B13</f>
        <v>99.137</v>
      </c>
      <c r="Q13" s="16" t="n">
        <f aca="false">B25</f>
        <v>98.9</v>
      </c>
    </row>
    <row r="14" customFormat="false" ht="25.35" hidden="false" customHeight="false" outlineLevel="0" collapsed="false">
      <c r="A14" s="8" t="s">
        <v>179</v>
      </c>
      <c r="B14" s="7" t="n">
        <v>22.5</v>
      </c>
      <c r="C14" s="5" t="n">
        <v>132</v>
      </c>
      <c r="D14" s="17" t="n">
        <f aca="false">C14*$B$9</f>
        <v>4.85266666666667</v>
      </c>
      <c r="E14" s="17" t="n">
        <f aca="false">IF(AND($B$9&gt;0.1,C14&lt;=200),((1-MIN(1,(MAX(C14,INDEX(B1_N,1))-INDEX(B1_N,MIN(MATCH(MAX(C14,INDEX(B1_N,1)),B1_N,1),ROWS(B1_N)-1)))/(INDEX(B1_N,MIN(MATCH(MAX(C14,INDEX(B1_N,1)),B1_N,1),ROWS(B1_N)-1)+1)-INDEX(B1_N,MIN(MATCH(MAX(C14,INDEX(B1_N,1)),B1_N,1),ROWS(B1_N)-1)))))*((1-MIN(1,($B$9-INDEX(B1_P,1,MIN(MATCH($B$9,B1_P,1),COLUMNS(B1_P)-1)))/(INDEX(B1_P,1,MIN(MATCH($B$9,B1_P,1),COLUMNS(B1_P)-1)+1)-INDEX(B1_P,1,MIN(MATCH($B$9,B1_P,1),COLUMNS(B1_P)-1)))))*INDEX(B1_G,MIN(MATCH(MAX(C14,INDEX(B1_N,1)),B1_N,1),ROWS(B1_N)-1),MIN(MATCH($B$9,B1_P,1),COLUMNS(B1_P)-1))+MIN(1,($B$9-INDEX(B1_P,1,MIN(MATCH($B$9,B1_P,1),COLUMNS(B1_P)-1)))/(INDEX(B1_P,1,MIN(MATCH($B$9,B1_P,1),COLUMNS(B1_P)-1)+1)-INDEX(B1_P,1,MIN(MATCH($B$9,B1_P,1),COLUMNS(B1_P)-1))))*INDEX(B1_G,MIN(MATCH(MAX(C14,INDEX(B1_N,1)),B1_N,1),ROWS(B1_N)-1),MIN(MATCH($B$9,B1_P,1),COLUMNS(B1_P)-1)+1))+MIN(1,(MAX(C14,INDEX(B1_N,1))-INDEX(B1_N,MIN(MATCH(MAX(C14,INDEX(B1_N,1)),B1_N,1),ROWS(B1_N)-1)))/(INDEX(B1_N,MIN(MATCH(MAX(C14,INDEX(B1_N,1)),B1_N,1),ROWS(B1_N)-1)+1)-INDEX(B1_N,MIN(MATCH(MAX(C14,INDEX(B1_N,1)),B1_N,1),ROWS(B1_N)-1))))*((1-MIN(1,($B$9-INDEX(B1_P,1,MIN(MATCH($B$9,B1_P,1),COLUMNS(B1_P)-1)))/(INDEX(B1_P,1,MIN(MATCH($B$9,B1_P,1),COLUMNS(B1_P)-1)+1)-INDEX(B1_P,1,MIN(MATCH($B$9,B1_P,1),COLUMNS(B1_P)-1)))))*INDEX(B1_G,MIN(MATCH(MAX(C14,INDEX(B1_N,1)),B1_N,1),ROWS(B1_N)-1)+1,MIN(MATCH($B$9,B1_P,1),COLUMNS(B1_P)-1))+MIN(1,($B$9-INDEX(B1_P,1,MIN(MATCH($B$9,B1_P,1),COLUMNS(B1_P)-1)))/(INDEX(B1_P,1,MIN(MATCH($B$9,B1_P,1),COLUMNS(B1_P)-1)+1)-INDEX(B1_P,1,MIN(MATCH($B$9,B1_P,1),COLUMNS(B1_P)-1))))*INDEX(B1_G,MIN(MATCH(MAX(C14,INDEX(B1_N,1)),B1_N,1),ROWS(B1_N)-1)+1,MIN(MATCH($B$9,B1_P,1),COLUMNS(B1_P)-1)+1))),IF((C14*$B$9)&lt;INDEX(B2_NP,1),0.2,IF((C14*$B$9)&gt;=INDEX(B2_NP,ROWS(B2_NP)),INDEX(B2_A,ROWS(B2_NP)),INDEX(B2_A,MATCH((C14*$B$9),B2_NP,1))+((C14*$B$9)-INDEX(B2_NP,MATCH((C14*$B$9),B2_NP,1)))*(INDEX(B2_A,MATCH((C14*$B$9),B2_NP,1)+1)-INDEX(B2_A,MATCH((C14*$B$9),B2_NP,1)))/(INDEX(B2_NP,MATCH((C14*$B$9),B2_NP,1)+1)-INDEX(B2_NP,MATCH((C14*$B$9),B2_NP,1))))))</f>
        <v>2.50790666666667</v>
      </c>
      <c r="F14" s="17" t="n">
        <f aca="false">0.005*E14*$D$9</f>
        <v>3.76186</v>
      </c>
      <c r="G14" s="16" t="n">
        <f aca="false">(1-MIN(1,(MAX(C14,INDEX(T51_N,1))-INDEX(T51_N,MIN(MATCH(MAX(C14,INDEX(T51_N,1)),T51_N,1),ROWS(T51_N)-1)))/(INDEX(T51_N,MIN(MATCH(MAX(C14,INDEX(T51_N,1)),T51_N,1),ROWS(T51_N)-1)+1)-INDEX(T51_N,MIN(MATCH(MAX(C14,INDEX(T51_N,1)),T51_N,1),ROWS(T51_N)-1)))))*((1-MIN(1,(MAX(B14,INDEX(T51_L,1,1))-INDEX(T51_L,1,MIN(MATCH(MAX(B14,INDEX(T51_L,1,1)),T51_L,1),COLUMNS(T51_L)-1)))/(INDEX(T51_L,1,MIN(MATCH(MAX(B14,INDEX(T51_L,1,1)),T51_L,1),COLUMNS(T51_L)-1)+1)-INDEX(T51_L,1,MIN(MATCH(MAX(B14,INDEX(T51_L,1,1)),T51_L,1),COLUMNS(T51_L)-1)))))*INDEX(T51_G,MIN(MATCH(MAX(C14,INDEX(T51_N,1)),T51_N,1),ROWS(T51_N)-1),MIN(MATCH(MAX(B14,INDEX(T51_L,1,1)),T51_L,1),COLUMNS(T51_L)-1))+MIN(1,(MAX(B14,INDEX(T51_L,1,1))-INDEX(T51_L,1,MIN(MATCH(MAX(B14,INDEX(T51_L,1,1)),T51_L,1),COLUMNS(T51_L)-1)))/(INDEX(T51_L,1,MIN(MATCH(MAX(B14,INDEX(T51_L,1,1)),T51_L,1),COLUMNS(T51_L)-1)+1)-INDEX(T51_L,1,MIN(MATCH(MAX(B14,INDEX(T51_L,1,1)),T51_L,1),COLUMNS(T51_L)-1))))*INDEX(T51_G,MIN(MATCH(MAX(C14,INDEX(T51_N,1)),T51_N,1),ROWS(T51_N)-1),MIN(MATCH(MAX(B14,INDEX(T51_L,1,1)),T51_L,1),COLUMNS(T51_L)-1)+1))+MIN(1,(MAX(C14,INDEX(T51_N,1))-INDEX(T51_N,MIN(MATCH(MAX(C14,INDEX(T51_N,1)),T51_N,1),ROWS(T51_N)-1)))/(INDEX(T51_N,MIN(MATCH(MAX(C14,INDEX(T51_N,1)),T51_N,1),ROWS(T51_N)-1)+1)-INDEX(T51_N,MIN(MATCH(MAX(C14,INDEX(T51_N,1)),T51_N,1),ROWS(T51_N)-1))))*((1-MIN(1,(MAX(B14,INDEX(T51_L,1,1))-INDEX(T51_L,1,MIN(MATCH(MAX(B14,INDEX(T51_L,1,1)),T51_L,1),COLUMNS(T51_L)-1)))/(INDEX(T51_L,1,MIN(MATCH(MAX(B14,INDEX(T51_L,1,1)),T51_L,1),COLUMNS(T51_L)-1)+1)-INDEX(T51_L,1,MIN(MATCH(MAX(B14,INDEX(T51_L,1,1)),T51_L,1),COLUMNS(T51_L)-1)))))*INDEX(T51_G,MIN(MATCH(MAX(C14,INDEX(T51_N,1)),T51_N,1),ROWS(T51_N)-1)+1,MIN(MATCH(MAX(B14,INDEX(T51_L,1,1)),T51_L,1),COLUMNS(T51_L)-1))+MIN(1,(MAX(B14,INDEX(T51_L,1,1))-INDEX(T51_L,1,MIN(MATCH(MAX(B14,INDEX(T51_L,1,1)),T51_L,1),COLUMNS(T51_L)-1)))/(INDEX(T51_L,1,MIN(MATCH(MAX(B14,INDEX(T51_L,1,1)),T51_L,1),COLUMNS(T51_L)-1)+1)-INDEX(T51_L,1,MIN(MATCH(MAX(B14,INDEX(T51_L,1,1)),T51_L,1),COLUMNS(T51_L)-1))))*INDEX(T51_G,MIN(MATCH(MAX(C14,INDEX(T51_N,1)),T51_N,1),ROWS(T51_N)-1)+1,MIN(MATCH(MAX(B14,INDEX(T51_L,1,1)),T51_L,1),COLUMNS(T51_L)-1)+1))</f>
        <v>0.5056</v>
      </c>
      <c r="H14" s="16" t="n">
        <f aca="false">F14/3.6+G14*$F$9</f>
        <v>1.60112111111111</v>
      </c>
      <c r="I14" s="5" t="n">
        <v>150</v>
      </c>
      <c r="J14" s="29" t="n">
        <v>0.008</v>
      </c>
      <c r="K14" s="6" t="n">
        <v>0.5</v>
      </c>
      <c r="L14" s="16" t="n">
        <f aca="false">IFERROR(INDEX(Павловский!$A$6:$A$91,MATCH(H14,Павловский!D$6:D$91,1))+(H14-INDEX(Павловский!D$6:D$91,MATCH(H14,Павловский!D$6:D$91,1)))*0.01/(INDEX(Павловский!D$6:D$91,MATCH(H14,Павловский!D$6:D$91,1)+1)-INDEX(Павловский!D$6:D$91,MATCH(H14,Павловский!D$6:D$91,1))),"вне таблицы")</f>
        <v>0.238916956841623</v>
      </c>
      <c r="M14" s="16" t="n">
        <f aca="false">(((I14/1000)^2/8*((2*ACOS(1-2*L14))-SIN((2*ACOS(1-2*L14)))))/((I14/1000)*(2*ACOS(1-2*L14))/2))^(2.5*SQRT($H$9)-0.13-0.75*SQRT((((I14/1000)^2/8*((2*ACOS(1-2*L14))-SIN((2*ACOS(1-2*L14)))))/((I14/1000)*(2*ACOS(1-2*L14))/2)))*(SQRT($H$9)-0.1))/$H$9*SQRT((((I14/1000)^2/8*((2*ACOS(1-2*L14))-SIN((2*ACOS(1-2*L14)))))/((I14/1000)*(2*ACOS(1-2*L14))/2))*J14)</f>
        <v>0.49402895526529</v>
      </c>
      <c r="N14" s="16" t="n">
        <f aca="false">M14*SQRT(L14)</f>
        <v>0.241477066341989</v>
      </c>
      <c r="O14" s="25" t="str">
        <f aca="false">IF(AND(N14&gt;=K14,M14&gt;=0.7,L14&gt;=0.3),"выполнено","безрасчётный, i ≥ 1/d")</f>
        <v>безрасчётный, i ≥ 1/d</v>
      </c>
      <c r="P14" s="16" t="n">
        <f aca="false">B26</f>
        <v>98.85</v>
      </c>
      <c r="Q14" s="16" t="n">
        <f aca="false">P14-J14*B14</f>
        <v>98.67</v>
      </c>
    </row>
    <row r="15" customFormat="false" ht="25.35" hidden="false" customHeight="false" outlineLevel="0" collapsed="false">
      <c r="A15" s="8" t="s">
        <v>180</v>
      </c>
      <c r="B15" s="7" t="n">
        <v>9.8</v>
      </c>
      <c r="C15" s="5" t="n">
        <v>264</v>
      </c>
      <c r="D15" s="17" t="n">
        <f aca="false">C15*$B$9</f>
        <v>9.70533333333333</v>
      </c>
      <c r="E15" s="17" t="n">
        <f aca="false">IF(AND($B$9&gt;0.1,C15&lt;=200),((1-MIN(1,(MAX(C15,INDEX(B1_N,1))-INDEX(B1_N,MIN(MATCH(MAX(C15,INDEX(B1_N,1)),B1_N,1),ROWS(B1_N)-1)))/(INDEX(B1_N,MIN(MATCH(MAX(C15,INDEX(B1_N,1)),B1_N,1),ROWS(B1_N)-1)+1)-INDEX(B1_N,MIN(MATCH(MAX(C15,INDEX(B1_N,1)),B1_N,1),ROWS(B1_N)-1)))))*((1-MIN(1,($B$9-INDEX(B1_P,1,MIN(MATCH($B$9,B1_P,1),COLUMNS(B1_P)-1)))/(INDEX(B1_P,1,MIN(MATCH($B$9,B1_P,1),COLUMNS(B1_P)-1)+1)-INDEX(B1_P,1,MIN(MATCH($B$9,B1_P,1),COLUMNS(B1_P)-1)))))*INDEX(B1_G,MIN(MATCH(MAX(C15,INDEX(B1_N,1)),B1_N,1),ROWS(B1_N)-1),MIN(MATCH($B$9,B1_P,1),COLUMNS(B1_P)-1))+MIN(1,($B$9-INDEX(B1_P,1,MIN(MATCH($B$9,B1_P,1),COLUMNS(B1_P)-1)))/(INDEX(B1_P,1,MIN(MATCH($B$9,B1_P,1),COLUMNS(B1_P)-1)+1)-INDEX(B1_P,1,MIN(MATCH($B$9,B1_P,1),COLUMNS(B1_P)-1))))*INDEX(B1_G,MIN(MATCH(MAX(C15,INDEX(B1_N,1)),B1_N,1),ROWS(B1_N)-1),MIN(MATCH($B$9,B1_P,1),COLUMNS(B1_P)-1)+1))+MIN(1,(MAX(C15,INDEX(B1_N,1))-INDEX(B1_N,MIN(MATCH(MAX(C15,INDEX(B1_N,1)),B1_N,1),ROWS(B1_N)-1)))/(INDEX(B1_N,MIN(MATCH(MAX(C15,INDEX(B1_N,1)),B1_N,1),ROWS(B1_N)-1)+1)-INDEX(B1_N,MIN(MATCH(MAX(C15,INDEX(B1_N,1)),B1_N,1),ROWS(B1_N)-1))))*((1-MIN(1,($B$9-INDEX(B1_P,1,MIN(MATCH($B$9,B1_P,1),COLUMNS(B1_P)-1)))/(INDEX(B1_P,1,MIN(MATCH($B$9,B1_P,1),COLUMNS(B1_P)-1)+1)-INDEX(B1_P,1,MIN(MATCH($B$9,B1_P,1),COLUMNS(B1_P)-1)))))*INDEX(B1_G,MIN(MATCH(MAX(C15,INDEX(B1_N,1)),B1_N,1),ROWS(B1_N)-1)+1,MIN(MATCH($B$9,B1_P,1),COLUMNS(B1_P)-1))+MIN(1,($B$9-INDEX(B1_P,1,MIN(MATCH($B$9,B1_P,1),COLUMNS(B1_P)-1)))/(INDEX(B1_P,1,MIN(MATCH($B$9,B1_P,1),COLUMNS(B1_P)-1)+1)-INDEX(B1_P,1,MIN(MATCH($B$9,B1_P,1),COLUMNS(B1_P)-1))))*INDEX(B1_G,MIN(MATCH(MAX(C15,INDEX(B1_N,1)),B1_N,1),ROWS(B1_N)-1)+1,MIN(MATCH($B$9,B1_P,1),COLUMNS(B1_P)-1)+1))),IF((C15*$B$9)&lt;INDEX(B2_NP,1),0.2,IF((C15*$B$9)&gt;=INDEX(B2_NP,ROWS(B2_NP)),INDEX(B2_A,ROWS(B2_NP)),INDEX(B2_A,MATCH((C15*$B$9),B2_NP,1))+((C15*$B$9)-INDEX(B2_NP,MATCH((C15*$B$9),B2_NP,1)))*(INDEX(B2_A,MATCH((C15*$B$9),B2_NP,1)+1)-INDEX(B2_A,MATCH((C15*$B$9),B2_NP,1)))/(INDEX(B2_NP,MATCH((C15*$B$9),B2_NP,1)+1)-INDEX(B2_NP,MATCH((C15*$B$9),B2_NP,1))))))</f>
        <v>4.0386</v>
      </c>
      <c r="F15" s="17" t="n">
        <f aca="false">0.005*E15*$D$9</f>
        <v>6.0579</v>
      </c>
      <c r="G15" s="16" t="n">
        <f aca="false">(1-MIN(1,(MAX(C15,INDEX(T51_N,1))-INDEX(T51_N,MIN(MATCH(MAX(C15,INDEX(T51_N,1)),T51_N,1),ROWS(T51_N)-1)))/(INDEX(T51_N,MIN(MATCH(MAX(C15,INDEX(T51_N,1)),T51_N,1),ROWS(T51_N)-1)+1)-INDEX(T51_N,MIN(MATCH(MAX(C15,INDEX(T51_N,1)),T51_N,1),ROWS(T51_N)-1)))))*((1-MIN(1,(MAX(B15,INDEX(T51_L,1,1))-INDEX(T51_L,1,MIN(MATCH(MAX(B15,INDEX(T51_L,1,1)),T51_L,1),COLUMNS(T51_L)-1)))/(INDEX(T51_L,1,MIN(MATCH(MAX(B15,INDEX(T51_L,1,1)),T51_L,1),COLUMNS(T51_L)-1)+1)-INDEX(T51_L,1,MIN(MATCH(MAX(B15,INDEX(T51_L,1,1)),T51_L,1),COLUMNS(T51_L)-1)))))*INDEX(T51_G,MIN(MATCH(MAX(C15,INDEX(T51_N,1)),T51_N,1),ROWS(T51_N)-1),MIN(MATCH(MAX(B15,INDEX(T51_L,1,1)),T51_L,1),COLUMNS(T51_L)-1))+MIN(1,(MAX(B15,INDEX(T51_L,1,1))-INDEX(T51_L,1,MIN(MATCH(MAX(B15,INDEX(T51_L,1,1)),T51_L,1),COLUMNS(T51_L)-1)))/(INDEX(T51_L,1,MIN(MATCH(MAX(B15,INDEX(T51_L,1,1)),T51_L,1),COLUMNS(T51_L)-1)+1)-INDEX(T51_L,1,MIN(MATCH(MAX(B15,INDEX(T51_L,1,1)),T51_L,1),COLUMNS(T51_L)-1))))*INDEX(T51_G,MIN(MATCH(MAX(C15,INDEX(T51_N,1)),T51_N,1),ROWS(T51_N)-1),MIN(MATCH(MAX(B15,INDEX(T51_L,1,1)),T51_L,1),COLUMNS(T51_L)-1)+1))+MIN(1,(MAX(C15,INDEX(T51_N,1))-INDEX(T51_N,MIN(MATCH(MAX(C15,INDEX(T51_N,1)),T51_N,1),ROWS(T51_N)-1)))/(INDEX(T51_N,MIN(MATCH(MAX(C15,INDEX(T51_N,1)),T51_N,1),ROWS(T51_N)-1)+1)-INDEX(T51_N,MIN(MATCH(MAX(C15,INDEX(T51_N,1)),T51_N,1),ROWS(T51_N)-1))))*((1-MIN(1,(MAX(B15,INDEX(T51_L,1,1))-INDEX(T51_L,1,MIN(MATCH(MAX(B15,INDEX(T51_L,1,1)),T51_L,1),COLUMNS(T51_L)-1)))/(INDEX(T51_L,1,MIN(MATCH(MAX(B15,INDEX(T51_L,1,1)),T51_L,1),COLUMNS(T51_L)-1)+1)-INDEX(T51_L,1,MIN(MATCH(MAX(B15,INDEX(T51_L,1,1)),T51_L,1),COLUMNS(T51_L)-1)))))*INDEX(T51_G,MIN(MATCH(MAX(C15,INDEX(T51_N,1)),T51_N,1),ROWS(T51_N)-1)+1,MIN(MATCH(MAX(B15,INDEX(T51_L,1,1)),T51_L,1),COLUMNS(T51_L)-1))+MIN(1,(MAX(B15,INDEX(T51_L,1,1))-INDEX(T51_L,1,MIN(MATCH(MAX(B15,INDEX(T51_L,1,1)),T51_L,1),COLUMNS(T51_L)-1)))/(INDEX(T51_L,1,MIN(MATCH(MAX(B15,INDEX(T51_L,1,1)),T51_L,1),COLUMNS(T51_L)-1)+1)-INDEX(T51_L,1,MIN(MATCH(MAX(B15,INDEX(T51_L,1,1)),T51_L,1),COLUMNS(T51_L)-1))))*INDEX(T51_G,MIN(MATCH(MAX(C15,INDEX(T51_N,1)),T51_N,1),ROWS(T51_N)-1)+1,MIN(MATCH(MAX(B15,INDEX(T51_L,1,1)),T51_L,1),COLUMNS(T51_L)-1)+1))</f>
        <v>0.68512</v>
      </c>
      <c r="H15" s="16" t="n">
        <f aca="false">F15/3.6+G15*$F$9</f>
        <v>2.436382</v>
      </c>
      <c r="I15" s="5" t="n">
        <v>150</v>
      </c>
      <c r="J15" s="29" t="n">
        <v>0.008</v>
      </c>
      <c r="K15" s="6" t="n">
        <v>0.5</v>
      </c>
      <c r="L15" s="16" t="n">
        <f aca="false">IFERROR(INDEX(Павловский!$A$6:$A$91,MATCH(H15,Павловский!E$6:E$91,1))+(H15-INDEX(Павловский!E$6:E$91,MATCH(H15,Павловский!E$6:E$91,1)))*0.01/(INDEX(Павловский!E$6:E$91,MATCH(H15,Павловский!E$6:E$91,1)+1)-INDEX(Павловский!E$6:E$91,MATCH(H15,Павловский!E$6:E$91,1))),"вне таблицы")</f>
        <v>0.295703255918033</v>
      </c>
      <c r="M15" s="16" t="n">
        <f aca="false">(((I15/1000)^2/8*((2*ACOS(1-2*L15))-SIN((2*ACOS(1-2*L15)))))/((I15/1000)*(2*ACOS(1-2*L15))/2))^(2.5*SQRT($H$9)-0.13-0.75*SQRT((((I15/1000)^2/8*((2*ACOS(1-2*L15))-SIN((2*ACOS(1-2*L15)))))/((I15/1000)*(2*ACOS(1-2*L15))/2)))*(SQRT($H$9)-0.1))/$H$9*SQRT((((I15/1000)^2/8*((2*ACOS(1-2*L15))-SIN((2*ACOS(1-2*L15)))))/((I15/1000)*(2*ACOS(1-2*L15))/2))*J15)</f>
        <v>0.557357401313039</v>
      </c>
      <c r="N15" s="16" t="n">
        <f aca="false">M15*SQRT(L15)</f>
        <v>0.303083173417053</v>
      </c>
      <c r="O15" s="25" t="str">
        <f aca="false">IF(AND(N15&gt;=K15,M15&gt;=0.7,L15&gt;=0.3),"выполнено","безрасчётный, i ≥ 1/d")</f>
        <v>безрасчётный, i ≥ 1/d</v>
      </c>
      <c r="P15" s="16" t="n">
        <f aca="false">Q14</f>
        <v>98.67</v>
      </c>
      <c r="Q15" s="16" t="n">
        <f aca="false">P15-J15*B15</f>
        <v>98.5916</v>
      </c>
    </row>
    <row r="16" customFormat="false" ht="25.35" hidden="false" customHeight="false" outlineLevel="0" collapsed="false">
      <c r="A16" s="8" t="s">
        <v>181</v>
      </c>
      <c r="B16" s="7" t="n">
        <v>6.2</v>
      </c>
      <c r="C16" s="5" t="n">
        <v>264</v>
      </c>
      <c r="D16" s="17" t="n">
        <f aca="false">C16*$B$9</f>
        <v>9.70533333333333</v>
      </c>
      <c r="E16" s="17" t="n">
        <f aca="false">IF(AND($B$9&gt;0.1,C16&lt;=200),((1-MIN(1,(MAX(C16,INDEX(B1_N,1))-INDEX(B1_N,MIN(MATCH(MAX(C16,INDEX(B1_N,1)),B1_N,1),ROWS(B1_N)-1)))/(INDEX(B1_N,MIN(MATCH(MAX(C16,INDEX(B1_N,1)),B1_N,1),ROWS(B1_N)-1)+1)-INDEX(B1_N,MIN(MATCH(MAX(C16,INDEX(B1_N,1)),B1_N,1),ROWS(B1_N)-1)))))*((1-MIN(1,($B$9-INDEX(B1_P,1,MIN(MATCH($B$9,B1_P,1),COLUMNS(B1_P)-1)))/(INDEX(B1_P,1,MIN(MATCH($B$9,B1_P,1),COLUMNS(B1_P)-1)+1)-INDEX(B1_P,1,MIN(MATCH($B$9,B1_P,1),COLUMNS(B1_P)-1)))))*INDEX(B1_G,MIN(MATCH(MAX(C16,INDEX(B1_N,1)),B1_N,1),ROWS(B1_N)-1),MIN(MATCH($B$9,B1_P,1),COLUMNS(B1_P)-1))+MIN(1,($B$9-INDEX(B1_P,1,MIN(MATCH($B$9,B1_P,1),COLUMNS(B1_P)-1)))/(INDEX(B1_P,1,MIN(MATCH($B$9,B1_P,1),COLUMNS(B1_P)-1)+1)-INDEX(B1_P,1,MIN(MATCH($B$9,B1_P,1),COLUMNS(B1_P)-1))))*INDEX(B1_G,MIN(MATCH(MAX(C16,INDEX(B1_N,1)),B1_N,1),ROWS(B1_N)-1),MIN(MATCH($B$9,B1_P,1),COLUMNS(B1_P)-1)+1))+MIN(1,(MAX(C16,INDEX(B1_N,1))-INDEX(B1_N,MIN(MATCH(MAX(C16,INDEX(B1_N,1)),B1_N,1),ROWS(B1_N)-1)))/(INDEX(B1_N,MIN(MATCH(MAX(C16,INDEX(B1_N,1)),B1_N,1),ROWS(B1_N)-1)+1)-INDEX(B1_N,MIN(MATCH(MAX(C16,INDEX(B1_N,1)),B1_N,1),ROWS(B1_N)-1))))*((1-MIN(1,($B$9-INDEX(B1_P,1,MIN(MATCH($B$9,B1_P,1),COLUMNS(B1_P)-1)))/(INDEX(B1_P,1,MIN(MATCH($B$9,B1_P,1),COLUMNS(B1_P)-1)+1)-INDEX(B1_P,1,MIN(MATCH($B$9,B1_P,1),COLUMNS(B1_P)-1)))))*INDEX(B1_G,MIN(MATCH(MAX(C16,INDEX(B1_N,1)),B1_N,1),ROWS(B1_N)-1)+1,MIN(MATCH($B$9,B1_P,1),COLUMNS(B1_P)-1))+MIN(1,($B$9-INDEX(B1_P,1,MIN(MATCH($B$9,B1_P,1),COLUMNS(B1_P)-1)))/(INDEX(B1_P,1,MIN(MATCH($B$9,B1_P,1),COLUMNS(B1_P)-1)+1)-INDEX(B1_P,1,MIN(MATCH($B$9,B1_P,1),COLUMNS(B1_P)-1))))*INDEX(B1_G,MIN(MATCH(MAX(C16,INDEX(B1_N,1)),B1_N,1),ROWS(B1_N)-1)+1,MIN(MATCH($B$9,B1_P,1),COLUMNS(B1_P)-1)+1))),IF((C16*$B$9)&lt;INDEX(B2_NP,1),0.2,IF((C16*$B$9)&gt;=INDEX(B2_NP,ROWS(B2_NP)),INDEX(B2_A,ROWS(B2_NP)),INDEX(B2_A,MATCH((C16*$B$9),B2_NP,1))+((C16*$B$9)-INDEX(B2_NP,MATCH((C16*$B$9),B2_NP,1)))*(INDEX(B2_A,MATCH((C16*$B$9),B2_NP,1)+1)-INDEX(B2_A,MATCH((C16*$B$9),B2_NP,1)))/(INDEX(B2_NP,MATCH((C16*$B$9),B2_NP,1)+1)-INDEX(B2_NP,MATCH((C16*$B$9),B2_NP,1))))))</f>
        <v>4.0386</v>
      </c>
      <c r="F16" s="17" t="n">
        <f aca="false">0.005*E16*$D$9</f>
        <v>6.0579</v>
      </c>
      <c r="G16" s="16" t="n">
        <f aca="false">(1-MIN(1,(MAX(C16,INDEX(T51_N,1))-INDEX(T51_N,MIN(MATCH(MAX(C16,INDEX(T51_N,1)),T51_N,1),ROWS(T51_N)-1)))/(INDEX(T51_N,MIN(MATCH(MAX(C16,INDEX(T51_N,1)),T51_N,1),ROWS(T51_N)-1)+1)-INDEX(T51_N,MIN(MATCH(MAX(C16,INDEX(T51_N,1)),T51_N,1),ROWS(T51_N)-1)))))*((1-MIN(1,(MAX(B16,INDEX(T51_L,1,1))-INDEX(T51_L,1,MIN(MATCH(MAX(B16,INDEX(T51_L,1,1)),T51_L,1),COLUMNS(T51_L)-1)))/(INDEX(T51_L,1,MIN(MATCH(MAX(B16,INDEX(T51_L,1,1)),T51_L,1),COLUMNS(T51_L)-1)+1)-INDEX(T51_L,1,MIN(MATCH(MAX(B16,INDEX(T51_L,1,1)),T51_L,1),COLUMNS(T51_L)-1)))))*INDEX(T51_G,MIN(MATCH(MAX(C16,INDEX(T51_N,1)),T51_N,1),ROWS(T51_N)-1),MIN(MATCH(MAX(B16,INDEX(T51_L,1,1)),T51_L,1),COLUMNS(T51_L)-1))+MIN(1,(MAX(B16,INDEX(T51_L,1,1))-INDEX(T51_L,1,MIN(MATCH(MAX(B16,INDEX(T51_L,1,1)),T51_L,1),COLUMNS(T51_L)-1)))/(INDEX(T51_L,1,MIN(MATCH(MAX(B16,INDEX(T51_L,1,1)),T51_L,1),COLUMNS(T51_L)-1)+1)-INDEX(T51_L,1,MIN(MATCH(MAX(B16,INDEX(T51_L,1,1)),T51_L,1),COLUMNS(T51_L)-1))))*INDEX(T51_G,MIN(MATCH(MAX(C16,INDEX(T51_N,1)),T51_N,1),ROWS(T51_N)-1),MIN(MATCH(MAX(B16,INDEX(T51_L,1,1)),T51_L,1),COLUMNS(T51_L)-1)+1))+MIN(1,(MAX(C16,INDEX(T51_N,1))-INDEX(T51_N,MIN(MATCH(MAX(C16,INDEX(T51_N,1)),T51_N,1),ROWS(T51_N)-1)))/(INDEX(T51_N,MIN(MATCH(MAX(C16,INDEX(T51_N,1)),T51_N,1),ROWS(T51_N)-1)+1)-INDEX(T51_N,MIN(MATCH(MAX(C16,INDEX(T51_N,1)),T51_N,1),ROWS(T51_N)-1))))*((1-MIN(1,(MAX(B16,INDEX(T51_L,1,1))-INDEX(T51_L,1,MIN(MATCH(MAX(B16,INDEX(T51_L,1,1)),T51_L,1),COLUMNS(T51_L)-1)))/(INDEX(T51_L,1,MIN(MATCH(MAX(B16,INDEX(T51_L,1,1)),T51_L,1),COLUMNS(T51_L)-1)+1)-INDEX(T51_L,1,MIN(MATCH(MAX(B16,INDEX(T51_L,1,1)),T51_L,1),COLUMNS(T51_L)-1)))))*INDEX(T51_G,MIN(MATCH(MAX(C16,INDEX(T51_N,1)),T51_N,1),ROWS(T51_N)-1)+1,MIN(MATCH(MAX(B16,INDEX(T51_L,1,1)),T51_L,1),COLUMNS(T51_L)-1))+MIN(1,(MAX(B16,INDEX(T51_L,1,1))-INDEX(T51_L,1,MIN(MATCH(MAX(B16,INDEX(T51_L,1,1)),T51_L,1),COLUMNS(T51_L)-1)))/(INDEX(T51_L,1,MIN(MATCH(MAX(B16,INDEX(T51_L,1,1)),T51_L,1),COLUMNS(T51_L)-1)+1)-INDEX(T51_L,1,MIN(MATCH(MAX(B16,INDEX(T51_L,1,1)),T51_L,1),COLUMNS(T51_L)-1))))*INDEX(T51_G,MIN(MATCH(MAX(C16,INDEX(T51_N,1)),T51_N,1),ROWS(T51_N)-1)+1,MIN(MATCH(MAX(B16,INDEX(T51_L,1,1)),T51_L,1),COLUMNS(T51_L)-1)+1))</f>
        <v>0.72588</v>
      </c>
      <c r="H16" s="16" t="n">
        <f aca="false">F16/3.6+G16*$F$9</f>
        <v>2.481218</v>
      </c>
      <c r="I16" s="5" t="n">
        <v>150</v>
      </c>
      <c r="J16" s="29" t="n">
        <v>0.008</v>
      </c>
      <c r="K16" s="6" t="n">
        <v>0.5</v>
      </c>
      <c r="L16" s="16" t="n">
        <f aca="false">IFERROR(INDEX(Павловский!$A$6:$A$91,MATCH(H16,Павловский!F$6:F$91,1))+(H16-INDEX(Павловский!F$6:F$91,MATCH(H16,Павловский!F$6:F$91,1)))*0.01/(INDEX(Павловский!F$6:F$91,MATCH(H16,Павловский!F$6:F$91,1)+1)-INDEX(Павловский!F$6:F$91,MATCH(H16,Павловский!F$6:F$91,1))),"вне таблицы")</f>
        <v>0.298512902391876</v>
      </c>
      <c r="M16" s="16" t="n">
        <f aca="false">(((I16/1000)^2/8*((2*ACOS(1-2*L16))-SIN((2*ACOS(1-2*L16)))))/((I16/1000)*(2*ACOS(1-2*L16))/2))^(2.5*SQRT($H$9)-0.13-0.75*SQRT((((I16/1000)^2/8*((2*ACOS(1-2*L16))-SIN((2*ACOS(1-2*L16)))))/((I16/1000)*(2*ACOS(1-2*L16))/2)))*(SQRT($H$9)-0.1))/$H$9*SQRT((((I16/1000)^2/8*((2*ACOS(1-2*L16))-SIN((2*ACOS(1-2*L16)))))/((I16/1000)*(2*ACOS(1-2*L16))/2))*J16)</f>
        <v>0.560267911321845</v>
      </c>
      <c r="N16" s="16" t="n">
        <f aca="false">M16*SQRT(L16)</f>
        <v>0.306109848911982</v>
      </c>
      <c r="O16" s="25" t="str">
        <f aca="false">IF(AND(N16&gt;=K16,M16&gt;=0.7,L16&gt;=0.3),"выполнено","безрасчётный, i ≥ 1/d")</f>
        <v>безрасчётный, i ≥ 1/d</v>
      </c>
      <c r="P16" s="16" t="n">
        <f aca="false">Q15</f>
        <v>98.5916</v>
      </c>
      <c r="Q16" s="16" t="n">
        <f aca="false">P16-J16*B16</f>
        <v>98.542</v>
      </c>
    </row>
    <row r="18" customFormat="false" ht="15" hidden="false" customHeight="false" outlineLevel="0" collapsed="false">
      <c r="A18" s="27" t="s">
        <v>182</v>
      </c>
    </row>
    <row r="20" customFormat="false" ht="15" hidden="false" customHeight="false" outlineLevel="0" collapsed="false">
      <c r="A20" s="4" t="s">
        <v>183</v>
      </c>
    </row>
    <row r="21" customFormat="false" ht="15" hidden="false" customHeight="false" outlineLevel="0" collapsed="false">
      <c r="A21" s="4" t="s">
        <v>184</v>
      </c>
      <c r="B21" s="7" t="n">
        <v>101</v>
      </c>
    </row>
    <row r="22" customFormat="false" ht="15" hidden="false" customHeight="false" outlineLevel="0" collapsed="false">
      <c r="A22" s="4" t="s">
        <v>185</v>
      </c>
      <c r="B22" s="29" t="n">
        <v>-2</v>
      </c>
    </row>
    <row r="23" customFormat="false" ht="15" hidden="false" customHeight="false" outlineLevel="0" collapsed="false">
      <c r="A23" s="4" t="s">
        <v>186</v>
      </c>
      <c r="B23" s="16" t="n">
        <f aca="false">B21+B22</f>
        <v>99</v>
      </c>
    </row>
    <row r="24" customFormat="false" ht="15" hidden="false" customHeight="false" outlineLevel="0" collapsed="false">
      <c r="A24" s="4" t="s">
        <v>187</v>
      </c>
      <c r="B24" s="6" t="n">
        <v>5</v>
      </c>
    </row>
    <row r="25" customFormat="false" ht="15" hidden="false" customHeight="false" outlineLevel="0" collapsed="false">
      <c r="A25" s="4" t="s">
        <v>188</v>
      </c>
      <c r="B25" s="16" t="n">
        <f aca="false">B23-J13*B24</f>
        <v>98.9</v>
      </c>
    </row>
    <row r="26" customFormat="false" ht="15" hidden="false" customHeight="false" outlineLevel="0" collapsed="false">
      <c r="A26" s="4" t="s">
        <v>189</v>
      </c>
      <c r="B26" s="16" t="n">
        <f aca="false">B25+I13/1000-I14/1000</f>
        <v>98.85</v>
      </c>
    </row>
    <row r="28" customFormat="false" ht="15" hidden="false" customHeight="false" outlineLevel="0" collapsed="false">
      <c r="A28" s="4" t="s">
        <v>190</v>
      </c>
    </row>
    <row r="29" customFormat="false" ht="49.25" hidden="false" customHeight="false" outlineLevel="0" collapsed="false">
      <c r="A29" s="9" t="s">
        <v>191</v>
      </c>
      <c r="B29" s="9" t="s">
        <v>192</v>
      </c>
      <c r="C29" s="9" t="s">
        <v>193</v>
      </c>
      <c r="D29" s="9" t="s">
        <v>194</v>
      </c>
      <c r="E29" s="9" t="s">
        <v>195</v>
      </c>
      <c r="F29" s="9" t="s">
        <v>196</v>
      </c>
    </row>
    <row r="30" customFormat="false" ht="15" hidden="false" customHeight="false" outlineLevel="0" collapsed="false">
      <c r="A30" s="30" t="s">
        <v>197</v>
      </c>
      <c r="B30" s="7" t="n">
        <v>100.7</v>
      </c>
      <c r="C30" s="16" t="n">
        <f aca="false">P14</f>
        <v>98.85</v>
      </c>
      <c r="D30" s="16" t="n">
        <f aca="false">B30-C30</f>
        <v>1.85000000000001</v>
      </c>
      <c r="E30" s="16" t="n">
        <f aca="false">MAX(Исходные!$B$9-0.3,0.7+$I$14/1000)</f>
        <v>1.4</v>
      </c>
      <c r="F30" s="25" t="str">
        <f aca="false">IF(D30&gt;=E30,"достаточна","мала")</f>
        <v>достаточна</v>
      </c>
    </row>
    <row r="31" customFormat="false" ht="15" hidden="false" customHeight="false" outlineLevel="0" collapsed="false">
      <c r="A31" s="30" t="s">
        <v>198</v>
      </c>
      <c r="B31" s="7" t="n">
        <v>100.55</v>
      </c>
      <c r="C31" s="16" t="n">
        <f aca="false">P15</f>
        <v>98.67</v>
      </c>
      <c r="D31" s="16" t="n">
        <f aca="false">B31-C31</f>
        <v>1.88000000000001</v>
      </c>
      <c r="E31" s="16" t="n">
        <f aca="false">MAX(Исходные!$B$9-0.3,0.7+$I$14/1000)</f>
        <v>1.4</v>
      </c>
      <c r="F31" s="25" t="str">
        <f aca="false">IF(D31&gt;=E31,"достаточна","мала")</f>
        <v>достаточна</v>
      </c>
    </row>
    <row r="32" customFormat="false" ht="15" hidden="false" customHeight="false" outlineLevel="0" collapsed="false">
      <c r="A32" s="30" t="s">
        <v>199</v>
      </c>
      <c r="B32" s="7" t="n">
        <v>100.4</v>
      </c>
      <c r="C32" s="16" t="n">
        <f aca="false">P16</f>
        <v>98.5916</v>
      </c>
      <c r="D32" s="16" t="n">
        <f aca="false">B32-C32</f>
        <v>1.80840000000002</v>
      </c>
      <c r="E32" s="16" t="n">
        <f aca="false">MAX(Исходные!$B$9-0.3,0.7+$I$14/1000)</f>
        <v>1.4</v>
      </c>
      <c r="F32" s="25" t="str">
        <f aca="false">IF(D32&gt;=E32,"достаточна","мала")</f>
        <v>достаточна</v>
      </c>
    </row>
    <row r="33" customFormat="false" ht="15" hidden="false" customHeight="false" outlineLevel="0" collapsed="false">
      <c r="A33" s="30" t="s">
        <v>200</v>
      </c>
      <c r="B33" s="7" t="n">
        <v>100.3</v>
      </c>
      <c r="C33" s="16" t="n">
        <f aca="false">Q16</f>
        <v>98.542</v>
      </c>
      <c r="D33" s="16" t="n">
        <f aca="false">B33-C33</f>
        <v>1.75800000000001</v>
      </c>
      <c r="E33" s="16" t="n">
        <f aca="false">MAX(Исходные!$B$9-0.3,0.7+$I$14/1000)</f>
        <v>1.4</v>
      </c>
      <c r="F33" s="25" t="str">
        <f aca="false">IF(D33&gt;=E33,"достаточна","мала")</f>
        <v>достаточна</v>
      </c>
    </row>
    <row r="35" customFormat="false" ht="25.35" hidden="false" customHeight="false" outlineLevel="0" collapsed="false">
      <c r="A35" s="4" t="s">
        <v>201</v>
      </c>
      <c r="B35" s="7" t="n">
        <v>97.8</v>
      </c>
    </row>
    <row r="36" customFormat="false" ht="25.35" hidden="false" customHeight="false" outlineLevel="0" collapsed="false">
      <c r="A36" s="4" t="s">
        <v>202</v>
      </c>
      <c r="B36" s="16" t="n">
        <f aca="false">C33-(B35+0.4)</f>
        <v>0.341999999999985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1"/>
    <col collapsed="false" customWidth="true" hidden="false" outlineLevel="0" max="10" min="10" style="0" width="8"/>
  </cols>
  <sheetData>
    <row r="1" customFormat="false" ht="16.15" hidden="false" customHeight="false" outlineLevel="0" collapsed="false">
      <c r="A1" s="3" t="s">
        <v>203</v>
      </c>
    </row>
    <row r="2" customFormat="false" ht="25.35" hidden="false" customHeight="false" outlineLevel="0" collapsed="false">
      <c r="A2" s="9" t="s">
        <v>204</v>
      </c>
      <c r="B2" s="9" t="s">
        <v>43</v>
      </c>
      <c r="C2" s="9" t="s">
        <v>44</v>
      </c>
      <c r="D2" s="9" t="s">
        <v>45</v>
      </c>
      <c r="E2" s="9" t="s">
        <v>46</v>
      </c>
      <c r="F2" s="9" t="s">
        <v>47</v>
      </c>
      <c r="G2" s="9" t="s">
        <v>48</v>
      </c>
      <c r="H2" s="9" t="s">
        <v>205</v>
      </c>
      <c r="I2" s="9" t="s">
        <v>50</v>
      </c>
      <c r="J2" s="9" t="s">
        <v>54</v>
      </c>
    </row>
    <row r="3" customFormat="false" ht="15" hidden="false" customHeight="false" outlineLevel="0" collapsed="false">
      <c r="A3" s="8" t="s">
        <v>206</v>
      </c>
      <c r="B3" s="31" t="n">
        <v>70</v>
      </c>
      <c r="C3" s="31" t="n">
        <v>0</v>
      </c>
      <c r="D3" s="31" t="n">
        <v>5</v>
      </c>
      <c r="E3" s="31" t="n">
        <v>0</v>
      </c>
      <c r="F3" s="31" t="n">
        <v>0.2</v>
      </c>
      <c r="G3" s="31" t="n">
        <v>50</v>
      </c>
      <c r="H3" s="31" t="n">
        <v>0.2</v>
      </c>
      <c r="I3" s="31" t="n">
        <v>50</v>
      </c>
      <c r="J3" s="31" t="n">
        <v>24</v>
      </c>
    </row>
    <row r="4" customFormat="false" ht="15" hidden="false" customHeight="false" outlineLevel="0" collapsed="false">
      <c r="A4" s="8" t="s">
        <v>207</v>
      </c>
      <c r="B4" s="31" t="n">
        <v>110</v>
      </c>
      <c r="C4" s="31" t="n">
        <v>0</v>
      </c>
      <c r="D4" s="31" t="n">
        <v>8.1</v>
      </c>
      <c r="E4" s="31" t="n">
        <v>0</v>
      </c>
      <c r="F4" s="31" t="n">
        <v>0.3</v>
      </c>
      <c r="G4" s="31" t="n">
        <v>300</v>
      </c>
      <c r="H4" s="31" t="n">
        <v>0.3</v>
      </c>
      <c r="I4" s="31" t="n">
        <v>300</v>
      </c>
      <c r="J4" s="31" t="n">
        <v>24</v>
      </c>
    </row>
    <row r="5" customFormat="false" ht="15" hidden="false" customHeight="false" outlineLevel="0" collapsed="false">
      <c r="A5" s="8" t="s">
        <v>208</v>
      </c>
      <c r="B5" s="31" t="n">
        <v>120</v>
      </c>
      <c r="C5" s="31" t="n">
        <v>0</v>
      </c>
      <c r="D5" s="31" t="n">
        <v>8.7</v>
      </c>
      <c r="E5" s="31" t="n">
        <v>0</v>
      </c>
      <c r="F5" s="31" t="n">
        <v>0.3</v>
      </c>
      <c r="G5" s="31" t="n">
        <v>300</v>
      </c>
      <c r="H5" s="31" t="n">
        <v>0.3</v>
      </c>
      <c r="I5" s="31" t="n">
        <v>300</v>
      </c>
      <c r="J5" s="31" t="n">
        <v>24</v>
      </c>
    </row>
    <row r="6" customFormat="false" ht="15" hidden="false" customHeight="false" outlineLevel="0" collapsed="false">
      <c r="A6" s="8" t="s">
        <v>209</v>
      </c>
      <c r="B6" s="31" t="n">
        <v>130</v>
      </c>
      <c r="C6" s="31" t="n">
        <v>50</v>
      </c>
      <c r="D6" s="31" t="n">
        <v>8.2</v>
      </c>
      <c r="E6" s="31" t="n">
        <v>4.5</v>
      </c>
      <c r="F6" s="31" t="n">
        <v>0.2</v>
      </c>
      <c r="G6" s="31" t="n">
        <v>100</v>
      </c>
      <c r="H6" s="31" t="n">
        <v>0.14</v>
      </c>
      <c r="I6" s="31" t="n">
        <v>60</v>
      </c>
      <c r="J6" s="31" t="n">
        <v>24</v>
      </c>
    </row>
    <row r="7" customFormat="false" ht="15" hidden="false" customHeight="false" outlineLevel="0" collapsed="false">
      <c r="A7" s="8" t="s">
        <v>210</v>
      </c>
      <c r="B7" s="31" t="n">
        <v>160</v>
      </c>
      <c r="C7" s="31" t="n">
        <v>65</v>
      </c>
      <c r="D7" s="31" t="n">
        <v>10.3</v>
      </c>
      <c r="E7" s="31" t="n">
        <v>5.7</v>
      </c>
      <c r="F7" s="31" t="n">
        <v>0.3</v>
      </c>
      <c r="G7" s="31" t="n">
        <v>300</v>
      </c>
      <c r="H7" s="31" t="n">
        <v>0.2</v>
      </c>
      <c r="I7" s="31" t="n">
        <v>200</v>
      </c>
      <c r="J7" s="31" t="n">
        <v>24</v>
      </c>
    </row>
    <row r="8" customFormat="false" ht="15" hidden="false" customHeight="false" outlineLevel="0" collapsed="false">
      <c r="A8" s="8" t="s">
        <v>24</v>
      </c>
      <c r="B8" s="31" t="n">
        <v>180</v>
      </c>
      <c r="C8" s="31" t="n">
        <v>70</v>
      </c>
      <c r="D8" s="31" t="n">
        <v>11.6</v>
      </c>
      <c r="E8" s="31" t="n">
        <v>6.5</v>
      </c>
      <c r="F8" s="31" t="n">
        <v>0.3</v>
      </c>
      <c r="G8" s="31" t="n">
        <v>300</v>
      </c>
      <c r="H8" s="31" t="n">
        <v>0.2</v>
      </c>
      <c r="I8" s="31" t="n">
        <v>200</v>
      </c>
      <c r="J8" s="31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1" min="1" style="0" width="8"/>
  </cols>
  <sheetData>
    <row r="1" customFormat="false" ht="16.15" hidden="false" customHeight="false" outlineLevel="0" collapsed="false">
      <c r="A1" s="3" t="s">
        <v>211</v>
      </c>
    </row>
    <row r="2" customFormat="false" ht="15" hidden="false" customHeight="false" outlineLevel="0" collapsed="false">
      <c r="A2" s="9" t="s">
        <v>212</v>
      </c>
    </row>
    <row r="3" customFormat="false" ht="15" hidden="false" customHeight="false" outlineLevel="0" collapsed="false">
      <c r="A3" s="9" t="s">
        <v>56</v>
      </c>
      <c r="B3" s="29" t="n">
        <v>0.1</v>
      </c>
      <c r="C3" s="29" t="n">
        <v>0.125</v>
      </c>
      <c r="D3" s="29" t="n">
        <v>0.16</v>
      </c>
      <c r="E3" s="29" t="n">
        <v>0.2</v>
      </c>
      <c r="F3" s="29" t="n">
        <v>0.25</v>
      </c>
      <c r="G3" s="29" t="n">
        <v>0.316</v>
      </c>
      <c r="H3" s="29" t="n">
        <v>0.4</v>
      </c>
      <c r="I3" s="29" t="n">
        <v>0.5</v>
      </c>
      <c r="J3" s="29" t="n">
        <v>0.63</v>
      </c>
      <c r="K3" s="29" t="n">
        <v>0.8</v>
      </c>
    </row>
    <row r="4" customFormat="false" ht="15" hidden="false" customHeight="false" outlineLevel="0" collapsed="false">
      <c r="A4" s="5" t="n">
        <v>2</v>
      </c>
      <c r="B4" s="7" t="n">
        <v>0.39</v>
      </c>
      <c r="C4" s="7" t="n">
        <v>0.39</v>
      </c>
      <c r="D4" s="7" t="n">
        <v>0.4</v>
      </c>
      <c r="E4" s="7" t="n">
        <v>0.4</v>
      </c>
      <c r="F4" s="7" t="n">
        <v>0.4</v>
      </c>
      <c r="G4" s="7" t="n">
        <v>0.4</v>
      </c>
      <c r="H4" s="7" t="n">
        <v>0.4</v>
      </c>
      <c r="I4" s="7" t="n">
        <v>0.4</v>
      </c>
      <c r="J4" s="7" t="n">
        <v>0.4</v>
      </c>
      <c r="K4" s="7" t="n">
        <v>0.4</v>
      </c>
    </row>
    <row r="5" customFormat="false" ht="15" hidden="false" customHeight="false" outlineLevel="0" collapsed="false">
      <c r="A5" s="5" t="n">
        <v>4</v>
      </c>
      <c r="B5" s="7" t="n">
        <v>0.58</v>
      </c>
      <c r="C5" s="7" t="n">
        <v>0.62</v>
      </c>
      <c r="D5" s="7" t="n">
        <v>0.65</v>
      </c>
      <c r="E5" s="7" t="n">
        <v>0.69</v>
      </c>
      <c r="F5" s="7" t="n">
        <v>0.72</v>
      </c>
      <c r="G5" s="7" t="n">
        <v>0.76</v>
      </c>
      <c r="H5" s="7" t="n">
        <v>0.78</v>
      </c>
      <c r="I5" s="7" t="n">
        <v>0.8</v>
      </c>
      <c r="J5" s="7" t="n">
        <v>0.8</v>
      </c>
      <c r="K5" s="7" t="n">
        <v>0.8</v>
      </c>
    </row>
    <row r="6" customFormat="false" ht="15" hidden="false" customHeight="false" outlineLevel="0" collapsed="false">
      <c r="A6" s="5" t="n">
        <v>6</v>
      </c>
      <c r="B6" s="7" t="n">
        <v>0.72</v>
      </c>
      <c r="C6" s="7" t="n">
        <v>0.78</v>
      </c>
      <c r="D6" s="7" t="n">
        <v>0.83</v>
      </c>
      <c r="E6" s="7" t="n">
        <v>0.9</v>
      </c>
      <c r="F6" s="7" t="n">
        <v>0.97</v>
      </c>
      <c r="G6" s="7" t="n">
        <v>1.04</v>
      </c>
      <c r="H6" s="7" t="n">
        <v>1.11</v>
      </c>
      <c r="I6" s="7" t="n">
        <v>1.16</v>
      </c>
      <c r="J6" s="7" t="n">
        <v>1.2</v>
      </c>
      <c r="K6" s="7" t="n">
        <v>1.2</v>
      </c>
    </row>
    <row r="7" customFormat="false" ht="15" hidden="false" customHeight="false" outlineLevel="0" collapsed="false">
      <c r="A7" s="5" t="n">
        <v>8</v>
      </c>
      <c r="B7" s="7" t="n">
        <v>0.84</v>
      </c>
      <c r="C7" s="7" t="n">
        <v>0.91</v>
      </c>
      <c r="D7" s="7" t="n">
        <v>0.99</v>
      </c>
      <c r="E7" s="7" t="n">
        <v>1.08</v>
      </c>
      <c r="F7" s="7" t="n">
        <v>1.18</v>
      </c>
      <c r="G7" s="7" t="n">
        <v>1.29</v>
      </c>
      <c r="H7" s="7" t="n">
        <v>1.39</v>
      </c>
      <c r="I7" s="7" t="n">
        <v>1.5</v>
      </c>
      <c r="J7" s="7" t="n">
        <v>1.58</v>
      </c>
      <c r="K7" s="7" t="n">
        <v>1.59</v>
      </c>
    </row>
    <row r="8" customFormat="false" ht="15" hidden="false" customHeight="false" outlineLevel="0" collapsed="false">
      <c r="A8" s="5" t="n">
        <v>10</v>
      </c>
      <c r="B8" s="7" t="n">
        <v>0.95</v>
      </c>
      <c r="C8" s="7" t="n">
        <v>1.04</v>
      </c>
      <c r="D8" s="7" t="n">
        <v>1.14</v>
      </c>
      <c r="E8" s="7" t="n">
        <v>1.25</v>
      </c>
      <c r="F8" s="7" t="n">
        <v>1.38</v>
      </c>
      <c r="G8" s="7" t="n">
        <v>1.52</v>
      </c>
      <c r="H8" s="7" t="n">
        <v>1.66</v>
      </c>
      <c r="I8" s="7" t="n">
        <v>1.81</v>
      </c>
      <c r="J8" s="7" t="n">
        <v>1.94</v>
      </c>
      <c r="K8" s="7" t="n">
        <v>1.97</v>
      </c>
    </row>
    <row r="9" customFormat="false" ht="15" hidden="false" customHeight="false" outlineLevel="0" collapsed="false">
      <c r="A9" s="5" t="n">
        <v>12</v>
      </c>
      <c r="B9" s="7" t="n">
        <v>1.05</v>
      </c>
      <c r="C9" s="7" t="n">
        <v>1.15</v>
      </c>
      <c r="D9" s="7" t="n">
        <v>1.28</v>
      </c>
      <c r="E9" s="7" t="n">
        <v>1.41</v>
      </c>
      <c r="F9" s="7" t="n">
        <v>1.57</v>
      </c>
      <c r="G9" s="7" t="n">
        <v>1.74</v>
      </c>
      <c r="H9" s="7" t="n">
        <v>1.92</v>
      </c>
      <c r="I9" s="7" t="n">
        <v>2.11</v>
      </c>
      <c r="J9" s="7" t="n">
        <v>2.29</v>
      </c>
      <c r="K9" s="7" t="n">
        <v>2.36</v>
      </c>
    </row>
    <row r="10" customFormat="false" ht="15" hidden="false" customHeight="false" outlineLevel="0" collapsed="false">
      <c r="A10" s="5" t="n">
        <v>14</v>
      </c>
      <c r="B10" s="7" t="n">
        <v>1.14</v>
      </c>
      <c r="C10" s="7" t="n">
        <v>1.27</v>
      </c>
      <c r="D10" s="7" t="n">
        <v>1.41</v>
      </c>
      <c r="E10" s="7" t="n">
        <v>1.57</v>
      </c>
      <c r="F10" s="7" t="n">
        <v>1.75</v>
      </c>
      <c r="G10" s="7" t="n">
        <v>1.95</v>
      </c>
      <c r="H10" s="7" t="n">
        <v>2.17</v>
      </c>
      <c r="I10" s="7" t="n">
        <v>2.4</v>
      </c>
      <c r="J10" s="7" t="n">
        <v>2.63</v>
      </c>
      <c r="K10" s="7" t="n">
        <v>2.75</v>
      </c>
    </row>
    <row r="11" customFormat="false" ht="15" hidden="false" customHeight="false" outlineLevel="0" collapsed="false">
      <c r="A11" s="5" t="n">
        <v>16</v>
      </c>
      <c r="B11" s="7" t="n">
        <v>1.25</v>
      </c>
      <c r="C11" s="7" t="n">
        <v>1.37</v>
      </c>
      <c r="D11" s="7" t="n">
        <v>1.53</v>
      </c>
      <c r="E11" s="7" t="n">
        <v>1.71</v>
      </c>
      <c r="F11" s="7" t="n">
        <v>1.92</v>
      </c>
      <c r="G11" s="7" t="n">
        <v>2.15</v>
      </c>
      <c r="H11" s="7" t="n">
        <v>2.41</v>
      </c>
      <c r="I11" s="7" t="n">
        <v>2.69</v>
      </c>
      <c r="J11" s="7" t="n">
        <v>2.96</v>
      </c>
      <c r="K11" s="7" t="n">
        <v>3.14</v>
      </c>
    </row>
    <row r="12" customFormat="false" ht="15" hidden="false" customHeight="false" outlineLevel="0" collapsed="false">
      <c r="A12" s="5" t="n">
        <v>18</v>
      </c>
      <c r="B12" s="7" t="n">
        <v>1.32</v>
      </c>
      <c r="C12" s="7" t="n">
        <v>1.47</v>
      </c>
      <c r="D12" s="7" t="n">
        <v>1.65</v>
      </c>
      <c r="E12" s="7" t="n">
        <v>1.85</v>
      </c>
      <c r="F12" s="7" t="n">
        <v>2.09</v>
      </c>
      <c r="G12" s="7" t="n">
        <v>2.35</v>
      </c>
      <c r="H12" s="7" t="n">
        <v>2.55</v>
      </c>
      <c r="I12" s="7" t="n">
        <v>2.97</v>
      </c>
      <c r="J12" s="7" t="n">
        <v>3.24</v>
      </c>
      <c r="K12" s="7" t="n">
        <v>3.53</v>
      </c>
    </row>
    <row r="13" customFormat="false" ht="15" hidden="false" customHeight="false" outlineLevel="0" collapsed="false">
      <c r="A13" s="5" t="n">
        <v>20</v>
      </c>
      <c r="B13" s="7" t="n">
        <v>1.41</v>
      </c>
      <c r="C13" s="7" t="n">
        <v>1.57</v>
      </c>
      <c r="D13" s="7" t="n">
        <v>1.77</v>
      </c>
      <c r="E13" s="7" t="n">
        <v>1.99</v>
      </c>
      <c r="F13" s="7" t="n">
        <v>2.25</v>
      </c>
      <c r="G13" s="7" t="n">
        <v>2.55</v>
      </c>
      <c r="H13" s="7" t="n">
        <v>2.88</v>
      </c>
      <c r="I13" s="7" t="n">
        <v>3.24</v>
      </c>
      <c r="J13" s="7" t="n">
        <v>3.6</v>
      </c>
      <c r="K13" s="7" t="n">
        <v>3.92</v>
      </c>
    </row>
    <row r="14" customFormat="false" ht="15" hidden="false" customHeight="false" outlineLevel="0" collapsed="false">
      <c r="A14" s="5" t="n">
        <v>22</v>
      </c>
      <c r="B14" s="7" t="n">
        <v>1.49</v>
      </c>
      <c r="C14" s="7" t="n">
        <v>1.67</v>
      </c>
      <c r="D14" s="7" t="n">
        <v>1.88</v>
      </c>
      <c r="E14" s="7" t="n">
        <v>2.13</v>
      </c>
      <c r="F14" s="7" t="n">
        <v>2.41</v>
      </c>
      <c r="G14" s="7" t="n">
        <v>2.74</v>
      </c>
      <c r="H14" s="7" t="n">
        <v>3.11</v>
      </c>
      <c r="I14" s="7" t="n">
        <v>3.51</v>
      </c>
      <c r="J14" s="7" t="n">
        <v>3.94</v>
      </c>
      <c r="K14" s="7" t="n">
        <v>4.33</v>
      </c>
    </row>
    <row r="15" customFormat="false" ht="15" hidden="false" customHeight="false" outlineLevel="0" collapsed="false">
      <c r="A15" s="5" t="n">
        <v>24</v>
      </c>
      <c r="B15" s="7" t="n">
        <v>1.57</v>
      </c>
      <c r="C15" s="7" t="n">
        <v>1.77</v>
      </c>
      <c r="D15" s="7" t="n">
        <v>2</v>
      </c>
      <c r="E15" s="7" t="n">
        <v>2.26</v>
      </c>
      <c r="F15" s="7" t="n">
        <v>2.57</v>
      </c>
      <c r="G15" s="7" t="n">
        <v>2.93</v>
      </c>
      <c r="H15" s="7" t="n">
        <v>3.33</v>
      </c>
      <c r="I15" s="7" t="n">
        <v>3.78</v>
      </c>
      <c r="J15" s="7" t="n">
        <v>4.27</v>
      </c>
      <c r="K15" s="7" t="n">
        <v>4.7</v>
      </c>
    </row>
    <row r="16" customFormat="false" ht="15" hidden="false" customHeight="false" outlineLevel="0" collapsed="false">
      <c r="A16" s="5" t="n">
        <v>26</v>
      </c>
      <c r="B16" s="7" t="n">
        <v>1.64</v>
      </c>
      <c r="C16" s="7" t="n">
        <v>1.86</v>
      </c>
      <c r="D16" s="7" t="n">
        <v>2.11</v>
      </c>
      <c r="E16" s="7" t="n">
        <v>2.39</v>
      </c>
      <c r="F16" s="7" t="n">
        <v>2.73</v>
      </c>
      <c r="G16" s="7" t="n">
        <v>3.11</v>
      </c>
      <c r="H16" s="7" t="n">
        <v>3.55</v>
      </c>
      <c r="I16" s="7" t="n">
        <v>4.04</v>
      </c>
      <c r="J16" s="7" t="n">
        <v>4.6</v>
      </c>
      <c r="K16" s="7" t="n">
        <v>5.11</v>
      </c>
    </row>
    <row r="17" customFormat="false" ht="15" hidden="false" customHeight="false" outlineLevel="0" collapsed="false">
      <c r="A17" s="5" t="n">
        <v>28</v>
      </c>
      <c r="B17" s="7" t="n">
        <v>1.72</v>
      </c>
      <c r="C17" s="7" t="n">
        <v>1.95</v>
      </c>
      <c r="D17" s="7" t="n">
        <v>2.21</v>
      </c>
      <c r="E17" s="7" t="n">
        <v>2.52</v>
      </c>
      <c r="F17" s="7" t="n">
        <v>2.88</v>
      </c>
      <c r="G17" s="7" t="n">
        <v>3.3</v>
      </c>
      <c r="H17" s="7" t="n">
        <v>3.77</v>
      </c>
      <c r="I17" s="7" t="n">
        <v>4.3</v>
      </c>
      <c r="J17" s="7" t="n">
        <v>4.94</v>
      </c>
      <c r="K17" s="7" t="n">
        <v>5.51</v>
      </c>
    </row>
    <row r="18" customFormat="false" ht="15" hidden="false" customHeight="false" outlineLevel="0" collapsed="false">
      <c r="A18" s="5" t="n">
        <v>30</v>
      </c>
      <c r="B18" s="7" t="n">
        <v>1.8</v>
      </c>
      <c r="C18" s="7" t="n">
        <v>2.04</v>
      </c>
      <c r="D18" s="7" t="n">
        <v>2.32</v>
      </c>
      <c r="E18" s="7" t="n">
        <v>2.65</v>
      </c>
      <c r="F18" s="7" t="n">
        <v>3.03</v>
      </c>
      <c r="G18" s="7" t="n">
        <v>3.48</v>
      </c>
      <c r="H18" s="7" t="n">
        <v>3.99</v>
      </c>
      <c r="I18" s="7" t="n">
        <v>4.56</v>
      </c>
      <c r="J18" s="7" t="n">
        <v>5.27</v>
      </c>
      <c r="K18" s="7" t="n">
        <v>5.89</v>
      </c>
    </row>
    <row r="19" customFormat="false" ht="15" hidden="false" customHeight="false" outlineLevel="0" collapsed="false">
      <c r="A19" s="5" t="n">
        <v>32</v>
      </c>
      <c r="B19" s="7" t="n">
        <v>1.87</v>
      </c>
      <c r="C19" s="7" t="n">
        <v>2.13</v>
      </c>
      <c r="D19" s="7" t="n">
        <v>2.43</v>
      </c>
      <c r="E19" s="7" t="n">
        <v>2.77</v>
      </c>
      <c r="F19" s="7" t="n">
        <v>3.18</v>
      </c>
      <c r="G19" s="7" t="n">
        <v>3.66</v>
      </c>
      <c r="H19" s="7" t="n">
        <v>4.2</v>
      </c>
      <c r="I19" s="7" t="n">
        <v>4.82</v>
      </c>
      <c r="J19" s="7" t="n">
        <v>5.6</v>
      </c>
      <c r="K19" s="7" t="n">
        <v>6.24</v>
      </c>
    </row>
    <row r="20" customFormat="false" ht="15" hidden="false" customHeight="false" outlineLevel="0" collapsed="false">
      <c r="A20" s="5" t="n">
        <v>34</v>
      </c>
      <c r="B20" s="7" t="n">
        <v>1.94</v>
      </c>
      <c r="C20" s="7" t="n">
        <v>2.21</v>
      </c>
      <c r="D20" s="7" t="n">
        <v>2.53</v>
      </c>
      <c r="E20" s="7" t="n">
        <v>2.9</v>
      </c>
      <c r="F20" s="7" t="n">
        <v>3.33</v>
      </c>
      <c r="G20" s="7" t="n">
        <v>3.84</v>
      </c>
      <c r="H20" s="7" t="n">
        <v>4.42</v>
      </c>
      <c r="I20" s="7" t="n">
        <v>5.08</v>
      </c>
      <c r="J20" s="7" t="n">
        <v>5.92</v>
      </c>
      <c r="K20" s="7" t="n">
        <v>6.65</v>
      </c>
    </row>
    <row r="21" customFormat="false" ht="15" hidden="false" customHeight="false" outlineLevel="0" collapsed="false">
      <c r="A21" s="5" t="n">
        <v>36</v>
      </c>
      <c r="B21" s="7" t="n">
        <v>2.02</v>
      </c>
      <c r="C21" s="7" t="n">
        <v>2.3</v>
      </c>
      <c r="D21" s="7" t="n">
        <v>2.63</v>
      </c>
      <c r="E21" s="7" t="n">
        <v>3.02</v>
      </c>
      <c r="F21" s="7" t="n">
        <v>3.48</v>
      </c>
      <c r="G21" s="7" t="n">
        <v>4.02</v>
      </c>
      <c r="H21" s="7" t="n">
        <v>4.63</v>
      </c>
      <c r="I21" s="7" t="n">
        <v>5.33</v>
      </c>
      <c r="J21" s="7" t="n">
        <v>6.23</v>
      </c>
      <c r="K21" s="7" t="n">
        <v>7.02</v>
      </c>
    </row>
    <row r="22" customFormat="false" ht="15" hidden="false" customHeight="false" outlineLevel="0" collapsed="false">
      <c r="A22" s="5" t="n">
        <v>38</v>
      </c>
      <c r="B22" s="7" t="n">
        <v>2.09</v>
      </c>
      <c r="C22" s="7" t="n">
        <v>2.38</v>
      </c>
      <c r="D22" s="7" t="n">
        <v>2.73</v>
      </c>
      <c r="E22" s="7" t="n">
        <v>3.14</v>
      </c>
      <c r="F22" s="7" t="n">
        <v>3.62</v>
      </c>
      <c r="G22" s="7" t="n">
        <v>4.2</v>
      </c>
      <c r="H22" s="7" t="n">
        <v>4.84</v>
      </c>
      <c r="I22" s="7" t="n">
        <v>5.58</v>
      </c>
      <c r="J22" s="7" t="n">
        <v>6.6</v>
      </c>
      <c r="K22" s="7" t="n">
        <v>7.43</v>
      </c>
    </row>
    <row r="23" customFormat="false" ht="15" hidden="false" customHeight="false" outlineLevel="0" collapsed="false">
      <c r="A23" s="5" t="n">
        <v>40</v>
      </c>
      <c r="B23" s="7" t="n">
        <v>2.16</v>
      </c>
      <c r="C23" s="7" t="n">
        <v>2.47</v>
      </c>
      <c r="D23" s="7" t="n">
        <v>2.83</v>
      </c>
      <c r="E23" s="7" t="n">
        <v>3.26</v>
      </c>
      <c r="F23" s="7" t="n">
        <v>3.77</v>
      </c>
      <c r="G23" s="7" t="n">
        <v>4.38</v>
      </c>
      <c r="H23" s="7" t="n">
        <v>5.05</v>
      </c>
      <c r="I23" s="7" t="n">
        <v>5.83</v>
      </c>
      <c r="J23" s="7" t="n">
        <v>6.91</v>
      </c>
      <c r="K23" s="7" t="n">
        <v>7.84</v>
      </c>
    </row>
    <row r="24" customFormat="false" ht="15" hidden="false" customHeight="false" outlineLevel="0" collapsed="false">
      <c r="A24" s="5" t="n">
        <v>45</v>
      </c>
      <c r="B24" s="7" t="n">
        <v>2.33</v>
      </c>
      <c r="C24" s="7" t="n">
        <v>2.67</v>
      </c>
      <c r="D24" s="7" t="n">
        <v>3.08</v>
      </c>
      <c r="E24" s="7" t="n">
        <v>3.53</v>
      </c>
      <c r="F24" s="7" t="n">
        <v>4.12</v>
      </c>
      <c r="G24" s="7" t="n">
        <v>4.78</v>
      </c>
      <c r="H24" s="7" t="n">
        <v>5.55</v>
      </c>
      <c r="I24" s="7" t="n">
        <v>6.45</v>
      </c>
      <c r="J24" s="7" t="n">
        <v>7.72</v>
      </c>
      <c r="K24" s="7" t="n">
        <v>8.8</v>
      </c>
    </row>
    <row r="25" customFormat="false" ht="15" hidden="false" customHeight="false" outlineLevel="0" collapsed="false">
      <c r="A25" s="5" t="n">
        <v>50</v>
      </c>
      <c r="B25" s="7" t="n">
        <v>2.5</v>
      </c>
      <c r="C25" s="7" t="n">
        <v>2.88</v>
      </c>
      <c r="D25" s="7" t="n">
        <v>3.32</v>
      </c>
      <c r="E25" s="7" t="n">
        <v>3.8</v>
      </c>
      <c r="F25" s="7" t="n">
        <v>4.47</v>
      </c>
      <c r="G25" s="7" t="n">
        <v>5.18</v>
      </c>
      <c r="H25" s="7" t="n">
        <v>6.05</v>
      </c>
      <c r="I25" s="7" t="n">
        <v>7.07</v>
      </c>
      <c r="J25" s="7" t="n">
        <v>8.52</v>
      </c>
      <c r="K25" s="7" t="n">
        <v>9.9</v>
      </c>
    </row>
    <row r="26" customFormat="false" ht="15" hidden="false" customHeight="false" outlineLevel="0" collapsed="false">
      <c r="A26" s="5" t="n">
        <v>55</v>
      </c>
      <c r="B26" s="7" t="n">
        <v>2.66</v>
      </c>
      <c r="C26" s="7" t="n">
        <v>3.07</v>
      </c>
      <c r="D26" s="7" t="n">
        <v>3.56</v>
      </c>
      <c r="E26" s="7" t="n">
        <v>4.07</v>
      </c>
      <c r="F26" s="7" t="n">
        <v>4.82</v>
      </c>
      <c r="G26" s="7" t="n">
        <v>5.58</v>
      </c>
      <c r="H26" s="7" t="n">
        <v>6.55</v>
      </c>
      <c r="I26" s="7" t="n">
        <v>7.69</v>
      </c>
      <c r="J26" s="7" t="n">
        <v>9.4</v>
      </c>
      <c r="K26" s="7" t="n">
        <v>10.8</v>
      </c>
    </row>
    <row r="27" customFormat="false" ht="15" hidden="false" customHeight="false" outlineLevel="0" collapsed="false">
      <c r="A27" s="5" t="n">
        <v>60</v>
      </c>
      <c r="B27" s="7" t="n">
        <v>2.83</v>
      </c>
      <c r="C27" s="7" t="n">
        <v>3.27</v>
      </c>
      <c r="D27" s="7" t="n">
        <v>3.79</v>
      </c>
      <c r="E27" s="7" t="n">
        <v>4.34</v>
      </c>
      <c r="F27" s="7" t="n">
        <v>5.16</v>
      </c>
      <c r="G27" s="7" t="n">
        <v>5.98</v>
      </c>
      <c r="H27" s="7" t="n">
        <v>7.05</v>
      </c>
      <c r="I27" s="7" t="n">
        <v>8.31</v>
      </c>
      <c r="J27" s="7" t="n">
        <v>10.2</v>
      </c>
      <c r="K27" s="7" t="n">
        <v>11.8</v>
      </c>
    </row>
    <row r="28" customFormat="false" ht="15" hidden="false" customHeight="false" outlineLevel="0" collapsed="false">
      <c r="A28" s="5" t="n">
        <v>65</v>
      </c>
      <c r="B28" s="7" t="n">
        <v>2.99</v>
      </c>
      <c r="C28" s="7" t="n">
        <v>3.46</v>
      </c>
      <c r="D28" s="7" t="n">
        <v>4.02</v>
      </c>
      <c r="E28" s="7" t="n">
        <v>4.61</v>
      </c>
      <c r="F28" s="7" t="n">
        <v>5.5</v>
      </c>
      <c r="G28" s="7" t="n">
        <v>6.38</v>
      </c>
      <c r="H28" s="7" t="n">
        <v>7.55</v>
      </c>
      <c r="I28" s="7" t="n">
        <v>8.93</v>
      </c>
      <c r="J28" s="7" t="n">
        <v>11</v>
      </c>
      <c r="K28" s="7" t="n">
        <v>12.7</v>
      </c>
    </row>
    <row r="29" customFormat="false" ht="15" hidden="false" customHeight="false" outlineLevel="0" collapsed="false">
      <c r="A29" s="5" t="n">
        <v>70</v>
      </c>
      <c r="B29" s="7" t="n">
        <v>3.14</v>
      </c>
      <c r="C29" s="7" t="n">
        <v>3.65</v>
      </c>
      <c r="D29" s="7" t="n">
        <v>4.25</v>
      </c>
      <c r="E29" s="7" t="n">
        <v>4.88</v>
      </c>
      <c r="F29" s="7" t="n">
        <v>5.83</v>
      </c>
      <c r="G29" s="7" t="n">
        <v>6.78</v>
      </c>
      <c r="H29" s="7" t="n">
        <v>8.05</v>
      </c>
      <c r="I29" s="7" t="n">
        <v>9.55</v>
      </c>
      <c r="J29" s="7" t="n">
        <v>11.7</v>
      </c>
      <c r="K29" s="7" t="n">
        <v>13.7</v>
      </c>
    </row>
    <row r="30" customFormat="false" ht="15" hidden="false" customHeight="false" outlineLevel="0" collapsed="false">
      <c r="A30" s="5" t="n">
        <v>75</v>
      </c>
      <c r="B30" s="7" t="n">
        <v>3.3</v>
      </c>
      <c r="C30" s="7" t="n">
        <v>3.84</v>
      </c>
      <c r="D30" s="7" t="n">
        <v>4.48</v>
      </c>
      <c r="E30" s="7" t="n">
        <v>5.15</v>
      </c>
      <c r="F30" s="7" t="n">
        <v>6.16</v>
      </c>
      <c r="G30" s="7" t="n">
        <v>7.18</v>
      </c>
      <c r="H30" s="7" t="n">
        <v>8.55</v>
      </c>
      <c r="I30" s="7" t="n">
        <v>10.17</v>
      </c>
      <c r="J30" s="7" t="n">
        <v>12.5</v>
      </c>
      <c r="K30" s="7" t="n">
        <v>14.7</v>
      </c>
    </row>
    <row r="31" customFormat="false" ht="15" hidden="false" customHeight="false" outlineLevel="0" collapsed="false">
      <c r="A31" s="5" t="n">
        <v>80</v>
      </c>
      <c r="B31" s="7" t="n">
        <v>3.45</v>
      </c>
      <c r="C31" s="7" t="n">
        <v>4.02</v>
      </c>
      <c r="D31" s="7" t="n">
        <v>4.7</v>
      </c>
      <c r="E31" s="7" t="n">
        <v>5.42</v>
      </c>
      <c r="F31" s="7" t="n">
        <v>6.49</v>
      </c>
      <c r="G31" s="7" t="n">
        <v>7.58</v>
      </c>
      <c r="H31" s="7" t="n">
        <v>9.06</v>
      </c>
      <c r="I31" s="7" t="n">
        <v>10.79</v>
      </c>
      <c r="J31" s="7" t="n">
        <v>13.4</v>
      </c>
      <c r="K31" s="7" t="n">
        <v>15.7</v>
      </c>
    </row>
    <row r="32" customFormat="false" ht="15" hidden="false" customHeight="false" outlineLevel="0" collapsed="false">
      <c r="A32" s="5" t="n">
        <v>85</v>
      </c>
      <c r="B32" s="7" t="n">
        <v>3.6</v>
      </c>
      <c r="C32" s="7" t="n">
        <v>4.2</v>
      </c>
      <c r="D32" s="7" t="n">
        <v>4.92</v>
      </c>
      <c r="E32" s="7" t="n">
        <v>5.69</v>
      </c>
      <c r="F32" s="7" t="n">
        <v>6.82</v>
      </c>
      <c r="G32" s="7" t="n">
        <v>7.98</v>
      </c>
      <c r="H32" s="7" t="n">
        <v>9.57</v>
      </c>
      <c r="I32" s="7" t="n">
        <v>11.41</v>
      </c>
      <c r="J32" s="7" t="n">
        <v>14.2</v>
      </c>
      <c r="K32" s="7" t="n">
        <v>16.8</v>
      </c>
    </row>
    <row r="33" customFormat="false" ht="15" hidden="false" customHeight="false" outlineLevel="0" collapsed="false">
      <c r="A33" s="5" t="n">
        <v>90</v>
      </c>
      <c r="B33" s="7" t="n">
        <v>3.75</v>
      </c>
      <c r="C33" s="7" t="n">
        <v>4.38</v>
      </c>
      <c r="D33" s="7" t="n">
        <v>5.14</v>
      </c>
      <c r="E33" s="7" t="n">
        <v>5.96</v>
      </c>
      <c r="F33" s="7" t="n">
        <v>7.15</v>
      </c>
      <c r="G33" s="7" t="n">
        <v>8.38</v>
      </c>
      <c r="H33" s="7" t="n">
        <v>10.08</v>
      </c>
      <c r="I33" s="7" t="n">
        <v>12.04</v>
      </c>
      <c r="J33" s="7" t="n">
        <v>14.9</v>
      </c>
      <c r="K33" s="7" t="n">
        <v>17.7</v>
      </c>
    </row>
    <row r="34" customFormat="false" ht="15" hidden="false" customHeight="false" outlineLevel="0" collapsed="false">
      <c r="A34" s="5" t="n">
        <v>95</v>
      </c>
      <c r="B34" s="7" t="n">
        <v>3.9</v>
      </c>
      <c r="C34" s="7" t="n">
        <v>4.56</v>
      </c>
      <c r="D34" s="7" t="n">
        <v>5.36</v>
      </c>
      <c r="E34" s="7" t="n">
        <v>6.23</v>
      </c>
      <c r="F34" s="7" t="n">
        <v>7.48</v>
      </c>
      <c r="G34" s="7" t="n">
        <v>8.78</v>
      </c>
      <c r="H34" s="7" t="n">
        <v>10.59</v>
      </c>
      <c r="I34" s="7" t="n">
        <v>12.67</v>
      </c>
      <c r="J34" s="7" t="n">
        <v>15.6</v>
      </c>
      <c r="K34" s="7" t="n">
        <v>18.6</v>
      </c>
    </row>
    <row r="35" customFormat="false" ht="15" hidden="false" customHeight="false" outlineLevel="0" collapsed="false">
      <c r="A35" s="5" t="n">
        <v>100</v>
      </c>
      <c r="B35" s="7" t="n">
        <v>4.05</v>
      </c>
      <c r="C35" s="7" t="n">
        <v>4.74</v>
      </c>
      <c r="D35" s="7" t="n">
        <v>5.58</v>
      </c>
      <c r="E35" s="7" t="n">
        <v>6.5</v>
      </c>
      <c r="F35" s="7" t="n">
        <v>7.81</v>
      </c>
      <c r="G35" s="7" t="n">
        <v>9.18</v>
      </c>
      <c r="H35" s="7" t="n">
        <v>11.1</v>
      </c>
      <c r="I35" s="7" t="n">
        <v>13.3</v>
      </c>
      <c r="J35" s="7" t="n">
        <v>16.5</v>
      </c>
      <c r="K35" s="7" t="n">
        <v>19.6</v>
      </c>
    </row>
    <row r="36" customFormat="false" ht="15" hidden="false" customHeight="false" outlineLevel="0" collapsed="false">
      <c r="A36" s="5" t="n">
        <v>105</v>
      </c>
      <c r="B36" s="7" t="n">
        <v>4.2</v>
      </c>
      <c r="C36" s="7" t="n">
        <v>4.92</v>
      </c>
      <c r="D36" s="7" t="n">
        <v>5.8</v>
      </c>
      <c r="E36" s="7" t="n">
        <v>6.77</v>
      </c>
      <c r="F36" s="7" t="n">
        <v>8.14</v>
      </c>
      <c r="G36" s="7" t="n">
        <v>9.58</v>
      </c>
      <c r="H36" s="7" t="n">
        <v>11.61</v>
      </c>
      <c r="I36" s="7" t="n">
        <v>13.93</v>
      </c>
      <c r="J36" s="7" t="n">
        <v>17.2</v>
      </c>
      <c r="K36" s="7" t="n">
        <v>20.6</v>
      </c>
    </row>
    <row r="37" customFormat="false" ht="15" hidden="false" customHeight="false" outlineLevel="0" collapsed="false">
      <c r="A37" s="5" t="n">
        <v>110</v>
      </c>
      <c r="B37" s="7" t="n">
        <v>4.35</v>
      </c>
      <c r="C37" s="7" t="n">
        <v>5.1</v>
      </c>
      <c r="D37" s="7" t="n">
        <v>6.02</v>
      </c>
      <c r="E37" s="7" t="n">
        <v>7.04</v>
      </c>
      <c r="F37" s="7" t="n">
        <v>8.47</v>
      </c>
      <c r="G37" s="7" t="n">
        <v>9.99</v>
      </c>
      <c r="H37" s="7" t="n">
        <v>12.12</v>
      </c>
      <c r="I37" s="7" t="n">
        <v>14.56</v>
      </c>
      <c r="J37" s="7" t="n">
        <v>18</v>
      </c>
      <c r="K37" s="7" t="n">
        <v>21.6</v>
      </c>
    </row>
    <row r="38" customFormat="false" ht="15" hidden="false" customHeight="false" outlineLevel="0" collapsed="false">
      <c r="A38" s="5" t="n">
        <v>115</v>
      </c>
      <c r="B38" s="7" t="n">
        <v>4.5</v>
      </c>
      <c r="C38" s="7" t="n">
        <v>5.28</v>
      </c>
      <c r="D38" s="7" t="n">
        <v>6.24</v>
      </c>
      <c r="E38" s="7" t="n">
        <v>7.31</v>
      </c>
      <c r="F38" s="7" t="n">
        <v>8.8</v>
      </c>
      <c r="G38" s="7" t="n">
        <v>10.4</v>
      </c>
      <c r="H38" s="7" t="n">
        <v>12.63</v>
      </c>
      <c r="I38" s="7" t="n">
        <v>15.19</v>
      </c>
      <c r="J38" s="7" t="n">
        <v>18.8</v>
      </c>
      <c r="K38" s="7" t="n">
        <v>22.6</v>
      </c>
    </row>
    <row r="39" customFormat="false" ht="15" hidden="false" customHeight="false" outlineLevel="0" collapsed="false">
      <c r="A39" s="5" t="n">
        <v>120</v>
      </c>
      <c r="B39" s="7" t="n">
        <v>4.65</v>
      </c>
      <c r="C39" s="7" t="n">
        <v>5.46</v>
      </c>
      <c r="D39" s="7" t="n">
        <v>6.46</v>
      </c>
      <c r="E39" s="7" t="n">
        <v>7.58</v>
      </c>
      <c r="F39" s="7" t="n">
        <v>9.13</v>
      </c>
      <c r="G39" s="7" t="n">
        <v>10.81</v>
      </c>
      <c r="H39" s="7" t="n">
        <v>13.14</v>
      </c>
      <c r="I39" s="7" t="n">
        <v>15.87</v>
      </c>
      <c r="J39" s="7" t="n">
        <v>19.5</v>
      </c>
      <c r="K39" s="7" t="n">
        <v>23.6</v>
      </c>
    </row>
    <row r="40" customFormat="false" ht="15" hidden="false" customHeight="false" outlineLevel="0" collapsed="false">
      <c r="A40" s="5" t="n">
        <v>125</v>
      </c>
      <c r="B40" s="7" t="n">
        <v>4.8</v>
      </c>
      <c r="C40" s="7" t="n">
        <v>5.64</v>
      </c>
      <c r="D40" s="7" t="n">
        <v>6.68</v>
      </c>
      <c r="E40" s="7" t="n">
        <v>7.85</v>
      </c>
      <c r="F40" s="7" t="n">
        <v>9.46</v>
      </c>
      <c r="G40" s="7" t="n">
        <v>11.22</v>
      </c>
      <c r="H40" s="7" t="n">
        <v>13.65</v>
      </c>
      <c r="I40" s="7" t="n">
        <v>16.45</v>
      </c>
      <c r="J40" s="7" t="n">
        <v>20.2</v>
      </c>
      <c r="K40" s="7" t="n">
        <v>24.6</v>
      </c>
    </row>
    <row r="41" customFormat="false" ht="15" hidden="false" customHeight="false" outlineLevel="0" collapsed="false">
      <c r="A41" s="5" t="n">
        <v>130</v>
      </c>
      <c r="B41" s="7" t="n">
        <v>4.95</v>
      </c>
      <c r="C41" s="7" t="n">
        <v>5.82</v>
      </c>
      <c r="D41" s="7" t="n">
        <v>6.9</v>
      </c>
      <c r="E41" s="7" t="n">
        <v>8.12</v>
      </c>
      <c r="F41" s="7" t="n">
        <v>9.79</v>
      </c>
      <c r="G41" s="7" t="n">
        <v>11.63</v>
      </c>
      <c r="H41" s="7" t="n">
        <v>14.16</v>
      </c>
      <c r="I41" s="7" t="n">
        <v>17.08</v>
      </c>
      <c r="J41" s="7" t="n">
        <v>21</v>
      </c>
      <c r="K41" s="7" t="n">
        <v>25.5</v>
      </c>
    </row>
    <row r="42" customFormat="false" ht="15" hidden="false" customHeight="false" outlineLevel="0" collapsed="false">
      <c r="A42" s="5" t="n">
        <v>135</v>
      </c>
      <c r="B42" s="7" t="n">
        <v>5.1</v>
      </c>
      <c r="C42" s="7" t="n">
        <v>6</v>
      </c>
      <c r="D42" s="7" t="n">
        <v>7.12</v>
      </c>
      <c r="E42" s="7" t="n">
        <v>8.39</v>
      </c>
      <c r="F42" s="7" t="n">
        <v>10.12</v>
      </c>
      <c r="G42" s="7" t="n">
        <v>12.04</v>
      </c>
      <c r="H42" s="7" t="n">
        <v>14.67</v>
      </c>
      <c r="I42" s="7" t="n">
        <v>17.71</v>
      </c>
      <c r="J42" s="7" t="n">
        <v>21.9</v>
      </c>
      <c r="K42" s="7" t="n">
        <v>26.5</v>
      </c>
    </row>
    <row r="43" customFormat="false" ht="15" hidden="false" customHeight="false" outlineLevel="0" collapsed="false">
      <c r="A43" s="5" t="n">
        <v>140</v>
      </c>
      <c r="B43" s="7" t="n">
        <v>5.25</v>
      </c>
      <c r="C43" s="7" t="n">
        <v>6.18</v>
      </c>
      <c r="D43" s="7" t="n">
        <v>7.34</v>
      </c>
      <c r="E43" s="7" t="n">
        <v>8.66</v>
      </c>
      <c r="F43" s="7" t="n">
        <v>10.45</v>
      </c>
      <c r="G43" s="7" t="n">
        <v>12.45</v>
      </c>
      <c r="H43" s="7" t="n">
        <v>15.18</v>
      </c>
      <c r="I43" s="7" t="n">
        <v>18.34</v>
      </c>
      <c r="J43" s="7" t="n">
        <v>22.7</v>
      </c>
      <c r="K43" s="7" t="n">
        <v>27.5</v>
      </c>
    </row>
    <row r="44" customFormat="false" ht="15" hidden="false" customHeight="false" outlineLevel="0" collapsed="false">
      <c r="A44" s="5" t="n">
        <v>145</v>
      </c>
      <c r="B44" s="7" t="n">
        <v>5.39</v>
      </c>
      <c r="C44" s="7" t="n">
        <v>6.36</v>
      </c>
      <c r="D44" s="7" t="n">
        <v>7.56</v>
      </c>
      <c r="E44" s="7" t="n">
        <v>8.93</v>
      </c>
      <c r="F44" s="7" t="n">
        <v>10.77</v>
      </c>
      <c r="G44" s="7" t="n">
        <v>12.86</v>
      </c>
      <c r="H44" s="7" t="n">
        <v>15.69</v>
      </c>
      <c r="I44" s="7" t="n">
        <v>18.97</v>
      </c>
      <c r="J44" s="7" t="n">
        <v>23.4</v>
      </c>
      <c r="K44" s="7" t="n">
        <v>28.4</v>
      </c>
    </row>
    <row r="45" customFormat="false" ht="15" hidden="false" customHeight="false" outlineLevel="0" collapsed="false">
      <c r="A45" s="5" t="n">
        <v>150</v>
      </c>
      <c r="B45" s="7" t="n">
        <v>5.53</v>
      </c>
      <c r="C45" s="7" t="n">
        <v>6.54</v>
      </c>
      <c r="D45" s="7" t="n">
        <v>7.78</v>
      </c>
      <c r="E45" s="7" t="n">
        <v>9.2</v>
      </c>
      <c r="F45" s="7" t="n">
        <v>11.09</v>
      </c>
      <c r="G45" s="7" t="n">
        <v>13.27</v>
      </c>
      <c r="H45" s="7" t="n">
        <v>16.2</v>
      </c>
      <c r="I45" s="7" t="n">
        <v>19.6</v>
      </c>
      <c r="J45" s="7" t="n">
        <v>24.2</v>
      </c>
      <c r="K45" s="7" t="n">
        <v>29.4</v>
      </c>
    </row>
    <row r="46" customFormat="false" ht="15" hidden="false" customHeight="false" outlineLevel="0" collapsed="false">
      <c r="A46" s="5" t="n">
        <v>155</v>
      </c>
      <c r="B46" s="7" t="n">
        <v>5.67</v>
      </c>
      <c r="C46" s="7" t="n">
        <v>6.72</v>
      </c>
      <c r="D46" s="7" t="n">
        <v>8</v>
      </c>
      <c r="E46" s="7" t="n">
        <v>9.47</v>
      </c>
      <c r="F46" s="7" t="n">
        <v>11.41</v>
      </c>
      <c r="G46" s="7" t="n">
        <v>13.68</v>
      </c>
      <c r="H46" s="7" t="n">
        <v>16.71</v>
      </c>
      <c r="I46" s="7" t="n">
        <v>20.23</v>
      </c>
      <c r="J46" s="7" t="n">
        <v>25</v>
      </c>
      <c r="K46" s="7" t="n">
        <v>30.4</v>
      </c>
    </row>
    <row r="47" customFormat="false" ht="15" hidden="false" customHeight="false" outlineLevel="0" collapsed="false">
      <c r="A47" s="5" t="n">
        <v>160</v>
      </c>
      <c r="B47" s="7" t="n">
        <v>5.81</v>
      </c>
      <c r="C47" s="7" t="n">
        <v>6.9</v>
      </c>
      <c r="D47" s="7" t="n">
        <v>8.22</v>
      </c>
      <c r="E47" s="7" t="n">
        <v>9.74</v>
      </c>
      <c r="F47" s="7" t="n">
        <v>11.73</v>
      </c>
      <c r="G47" s="7" t="n">
        <v>14.09</v>
      </c>
      <c r="H47" s="7" t="n">
        <v>17.22</v>
      </c>
      <c r="I47" s="7" t="n">
        <v>20.86</v>
      </c>
      <c r="J47" s="7" t="n">
        <v>25.6</v>
      </c>
      <c r="K47" s="7" t="n">
        <v>31.3</v>
      </c>
    </row>
    <row r="48" customFormat="false" ht="15" hidden="false" customHeight="false" outlineLevel="0" collapsed="false">
      <c r="A48" s="5" t="n">
        <v>165</v>
      </c>
      <c r="B48" s="7" t="n">
        <v>5.95</v>
      </c>
      <c r="C48" s="7" t="n">
        <v>7.07</v>
      </c>
      <c r="D48" s="7" t="n">
        <v>8.44</v>
      </c>
      <c r="E48" s="7" t="n">
        <v>10.01</v>
      </c>
      <c r="F48" s="7" t="n">
        <v>12.05</v>
      </c>
      <c r="G48" s="7" t="n">
        <v>14.5</v>
      </c>
      <c r="H48" s="7" t="n">
        <v>17.73</v>
      </c>
      <c r="I48" s="7" t="n">
        <v>21.49</v>
      </c>
      <c r="J48" s="7" t="n">
        <v>26.4</v>
      </c>
      <c r="K48" s="7" t="n">
        <v>32.5</v>
      </c>
    </row>
    <row r="49" customFormat="false" ht="15" hidden="false" customHeight="false" outlineLevel="0" collapsed="false">
      <c r="A49" s="5" t="n">
        <v>170</v>
      </c>
      <c r="B49" s="7" t="n">
        <v>6.09</v>
      </c>
      <c r="C49" s="7" t="n">
        <v>7.23</v>
      </c>
      <c r="D49" s="7" t="n">
        <v>8.66</v>
      </c>
      <c r="E49" s="7" t="n">
        <v>10.28</v>
      </c>
      <c r="F49" s="7" t="n">
        <v>12.37</v>
      </c>
      <c r="G49" s="7" t="n">
        <v>14.91</v>
      </c>
      <c r="H49" s="7" t="n">
        <v>18.24</v>
      </c>
      <c r="I49" s="7" t="n">
        <v>22.12</v>
      </c>
      <c r="J49" s="7" t="n">
        <v>27.1</v>
      </c>
      <c r="K49" s="7" t="n">
        <v>33.6</v>
      </c>
    </row>
    <row r="50" customFormat="false" ht="15" hidden="false" customHeight="false" outlineLevel="0" collapsed="false">
      <c r="A50" s="5" t="n">
        <v>175</v>
      </c>
      <c r="B50" s="7" t="n">
        <v>6.23</v>
      </c>
      <c r="C50" s="7" t="n">
        <v>7.39</v>
      </c>
      <c r="D50" s="7" t="n">
        <v>8.88</v>
      </c>
      <c r="E50" s="7" t="n">
        <v>10.55</v>
      </c>
      <c r="F50" s="7" t="n">
        <v>12.69</v>
      </c>
      <c r="G50" s="7" t="n">
        <v>15.32</v>
      </c>
      <c r="H50" s="7" t="n">
        <v>18.75</v>
      </c>
      <c r="I50" s="7" t="n">
        <v>22.75</v>
      </c>
      <c r="J50" s="7" t="n">
        <v>27.9</v>
      </c>
      <c r="K50" s="7" t="n">
        <v>34.7</v>
      </c>
    </row>
    <row r="51" customFormat="false" ht="15" hidden="false" customHeight="false" outlineLevel="0" collapsed="false">
      <c r="A51" s="5" t="n">
        <v>180</v>
      </c>
      <c r="B51" s="7" t="n">
        <v>6.37</v>
      </c>
      <c r="C51" s="7" t="n">
        <v>7.55</v>
      </c>
      <c r="D51" s="7" t="n">
        <v>9.1</v>
      </c>
      <c r="E51" s="7" t="n">
        <v>10.82</v>
      </c>
      <c r="F51" s="7" t="n">
        <v>13.01</v>
      </c>
      <c r="G51" s="7" t="n">
        <v>15.73</v>
      </c>
      <c r="H51" s="7" t="n">
        <v>19.26</v>
      </c>
      <c r="I51" s="7" t="n">
        <v>23.38</v>
      </c>
      <c r="J51" s="7" t="n">
        <v>28.5</v>
      </c>
      <c r="K51" s="7" t="n">
        <v>35.4</v>
      </c>
    </row>
    <row r="52" customFormat="false" ht="15" hidden="false" customHeight="false" outlineLevel="0" collapsed="false">
      <c r="A52" s="5" t="n">
        <v>185</v>
      </c>
      <c r="B52" s="7" t="n">
        <v>6.5</v>
      </c>
      <c r="C52" s="7" t="n">
        <v>7.71</v>
      </c>
      <c r="D52" s="7" t="n">
        <v>9.32</v>
      </c>
      <c r="E52" s="7" t="n">
        <v>11.09</v>
      </c>
      <c r="F52" s="7" t="n">
        <v>13.33</v>
      </c>
      <c r="G52" s="7" t="n">
        <v>16.14</v>
      </c>
      <c r="H52" s="7" t="n">
        <v>19.77</v>
      </c>
      <c r="I52" s="7" t="n">
        <v>24.01</v>
      </c>
      <c r="J52" s="7" t="n">
        <v>29.4</v>
      </c>
      <c r="K52" s="7" t="n">
        <v>36.6</v>
      </c>
    </row>
    <row r="53" customFormat="false" ht="15" hidden="false" customHeight="false" outlineLevel="0" collapsed="false">
      <c r="A53" s="5" t="n">
        <v>190</v>
      </c>
      <c r="B53" s="7" t="n">
        <v>6.63</v>
      </c>
      <c r="C53" s="7" t="n">
        <v>7.87</v>
      </c>
      <c r="D53" s="7" t="n">
        <v>9.54</v>
      </c>
      <c r="E53" s="7" t="n">
        <v>11.36</v>
      </c>
      <c r="F53" s="7" t="n">
        <v>13.65</v>
      </c>
      <c r="G53" s="7" t="n">
        <v>16.55</v>
      </c>
      <c r="H53" s="7" t="n">
        <v>20.28</v>
      </c>
      <c r="I53" s="7" t="n">
        <v>24.64</v>
      </c>
      <c r="J53" s="7" t="n">
        <v>30.1</v>
      </c>
      <c r="K53" s="7" t="n">
        <v>37.6</v>
      </c>
    </row>
    <row r="54" customFormat="false" ht="15" hidden="false" customHeight="false" outlineLevel="0" collapsed="false">
      <c r="A54" s="5" t="n">
        <v>195</v>
      </c>
      <c r="B54" s="7" t="n">
        <v>6.76</v>
      </c>
      <c r="C54" s="7" t="n">
        <v>8.03</v>
      </c>
      <c r="D54" s="7" t="n">
        <v>9.75</v>
      </c>
      <c r="E54" s="7" t="n">
        <v>11.63</v>
      </c>
      <c r="F54" s="7" t="n">
        <v>13.97</v>
      </c>
      <c r="G54" s="7" t="n">
        <v>16.96</v>
      </c>
      <c r="H54" s="7" t="n">
        <v>20.79</v>
      </c>
      <c r="I54" s="7" t="n">
        <v>25.27</v>
      </c>
      <c r="J54" s="7" t="n">
        <v>30.9</v>
      </c>
      <c r="K54" s="7" t="n">
        <v>38.3</v>
      </c>
    </row>
    <row r="55" customFormat="false" ht="15" hidden="false" customHeight="false" outlineLevel="0" collapsed="false">
      <c r="A55" s="5" t="n">
        <v>200</v>
      </c>
      <c r="B55" s="7" t="n">
        <v>6.89</v>
      </c>
      <c r="C55" s="7" t="n">
        <v>8.19</v>
      </c>
      <c r="D55" s="7" t="n">
        <v>9.96</v>
      </c>
      <c r="E55" s="7" t="n">
        <v>11.9</v>
      </c>
      <c r="F55" s="7" t="n">
        <v>14.3</v>
      </c>
      <c r="G55" s="7" t="n">
        <v>17.4</v>
      </c>
      <c r="H55" s="7" t="n">
        <v>21.3</v>
      </c>
      <c r="I55" s="7" t="n">
        <v>25.9</v>
      </c>
      <c r="J55" s="7" t="n">
        <v>31.8</v>
      </c>
      <c r="K55" s="7" t="n">
        <v>39.5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3" t="s">
        <v>213</v>
      </c>
    </row>
    <row r="2" customFormat="false" ht="15" hidden="false" customHeight="false" outlineLevel="0" collapsed="false">
      <c r="A2" s="9" t="s">
        <v>64</v>
      </c>
      <c r="B2" s="9" t="s">
        <v>65</v>
      </c>
    </row>
    <row r="3" customFormat="false" ht="15" hidden="false" customHeight="false" outlineLevel="0" collapsed="false">
      <c r="A3" s="29" t="n">
        <v>0.015</v>
      </c>
      <c r="B3" s="29" t="n">
        <v>0.202</v>
      </c>
    </row>
    <row r="4" customFormat="false" ht="15" hidden="false" customHeight="false" outlineLevel="0" collapsed="false">
      <c r="A4" s="29" t="n">
        <v>0.016</v>
      </c>
      <c r="B4" s="29" t="n">
        <v>0.205</v>
      </c>
    </row>
    <row r="5" customFormat="false" ht="15" hidden="false" customHeight="false" outlineLevel="0" collapsed="false">
      <c r="A5" s="29" t="n">
        <v>0.017</v>
      </c>
      <c r="B5" s="29" t="n">
        <v>0.207</v>
      </c>
    </row>
    <row r="6" customFormat="false" ht="15" hidden="false" customHeight="false" outlineLevel="0" collapsed="false">
      <c r="A6" s="29" t="n">
        <v>0.018</v>
      </c>
      <c r="B6" s="29" t="n">
        <v>0.21</v>
      </c>
    </row>
    <row r="7" customFormat="false" ht="15" hidden="false" customHeight="false" outlineLevel="0" collapsed="false">
      <c r="A7" s="29" t="n">
        <v>0.019</v>
      </c>
      <c r="B7" s="29" t="n">
        <v>0.212</v>
      </c>
    </row>
    <row r="8" customFormat="false" ht="15" hidden="false" customHeight="false" outlineLevel="0" collapsed="false">
      <c r="A8" s="29" t="n">
        <v>0.02</v>
      </c>
      <c r="B8" s="29" t="n">
        <v>0.215</v>
      </c>
    </row>
    <row r="9" customFormat="false" ht="15" hidden="false" customHeight="false" outlineLevel="0" collapsed="false">
      <c r="A9" s="29" t="n">
        <v>0.021</v>
      </c>
      <c r="B9" s="29" t="n">
        <v>0.217</v>
      </c>
    </row>
    <row r="10" customFormat="false" ht="15" hidden="false" customHeight="false" outlineLevel="0" collapsed="false">
      <c r="A10" s="29" t="n">
        <v>0.022</v>
      </c>
      <c r="B10" s="29" t="n">
        <v>0.219</v>
      </c>
    </row>
    <row r="11" customFormat="false" ht="15" hidden="false" customHeight="false" outlineLevel="0" collapsed="false">
      <c r="A11" s="29" t="n">
        <v>0.023</v>
      </c>
      <c r="B11" s="29" t="n">
        <v>0.222</v>
      </c>
    </row>
    <row r="12" customFormat="false" ht="15" hidden="false" customHeight="false" outlineLevel="0" collapsed="false">
      <c r="A12" s="29" t="n">
        <v>0.024</v>
      </c>
      <c r="B12" s="29" t="n">
        <v>0.224</v>
      </c>
    </row>
    <row r="13" customFormat="false" ht="15" hidden="false" customHeight="false" outlineLevel="0" collapsed="false">
      <c r="A13" s="29" t="n">
        <v>0.025</v>
      </c>
      <c r="B13" s="29" t="n">
        <v>0.226</v>
      </c>
    </row>
    <row r="14" customFormat="false" ht="15" hidden="false" customHeight="false" outlineLevel="0" collapsed="false">
      <c r="A14" s="29" t="n">
        <v>0.026</v>
      </c>
      <c r="B14" s="29" t="n">
        <v>0.228</v>
      </c>
    </row>
    <row r="15" customFormat="false" ht="15" hidden="false" customHeight="false" outlineLevel="0" collapsed="false">
      <c r="A15" s="29" t="n">
        <v>0.027</v>
      </c>
      <c r="B15" s="29" t="n">
        <v>0.23</v>
      </c>
    </row>
    <row r="16" customFormat="false" ht="15" hidden="false" customHeight="false" outlineLevel="0" collapsed="false">
      <c r="A16" s="29" t="n">
        <v>0.028</v>
      </c>
      <c r="B16" s="29" t="n">
        <v>0.233</v>
      </c>
    </row>
    <row r="17" customFormat="false" ht="15" hidden="false" customHeight="false" outlineLevel="0" collapsed="false">
      <c r="A17" s="29" t="n">
        <v>0.029</v>
      </c>
      <c r="B17" s="29" t="n">
        <v>0.235</v>
      </c>
    </row>
    <row r="18" customFormat="false" ht="15" hidden="false" customHeight="false" outlineLevel="0" collapsed="false">
      <c r="A18" s="29" t="n">
        <v>0.03</v>
      </c>
      <c r="B18" s="29" t="n">
        <v>0.237</v>
      </c>
    </row>
    <row r="19" customFormat="false" ht="15" hidden="false" customHeight="false" outlineLevel="0" collapsed="false">
      <c r="A19" s="29" t="n">
        <v>0.031</v>
      </c>
      <c r="B19" s="29" t="n">
        <v>0.239</v>
      </c>
    </row>
    <row r="20" customFormat="false" ht="15" hidden="false" customHeight="false" outlineLevel="0" collapsed="false">
      <c r="A20" s="29" t="n">
        <v>0.032</v>
      </c>
      <c r="B20" s="29" t="n">
        <v>0.241</v>
      </c>
    </row>
    <row r="21" customFormat="false" ht="15" hidden="false" customHeight="false" outlineLevel="0" collapsed="false">
      <c r="A21" s="29" t="n">
        <v>0.033</v>
      </c>
      <c r="B21" s="29" t="n">
        <v>0.243</v>
      </c>
    </row>
    <row r="22" customFormat="false" ht="15" hidden="false" customHeight="false" outlineLevel="0" collapsed="false">
      <c r="A22" s="29" t="n">
        <v>0.034</v>
      </c>
      <c r="B22" s="29" t="n">
        <v>0.245</v>
      </c>
    </row>
    <row r="23" customFormat="false" ht="15" hidden="false" customHeight="false" outlineLevel="0" collapsed="false">
      <c r="A23" s="29" t="n">
        <v>0.035</v>
      </c>
      <c r="B23" s="29" t="n">
        <v>0.247</v>
      </c>
    </row>
    <row r="24" customFormat="false" ht="15" hidden="false" customHeight="false" outlineLevel="0" collapsed="false">
      <c r="A24" s="29" t="n">
        <v>0.036</v>
      </c>
      <c r="B24" s="29" t="n">
        <v>0.249</v>
      </c>
    </row>
    <row r="25" customFormat="false" ht="15" hidden="false" customHeight="false" outlineLevel="0" collapsed="false">
      <c r="A25" s="29" t="n">
        <v>0.037</v>
      </c>
      <c r="B25" s="29" t="n">
        <v>0.25</v>
      </c>
    </row>
    <row r="26" customFormat="false" ht="15" hidden="false" customHeight="false" outlineLevel="0" collapsed="false">
      <c r="A26" s="29" t="n">
        <v>0.038</v>
      </c>
      <c r="B26" s="29" t="n">
        <v>0.252</v>
      </c>
    </row>
    <row r="27" customFormat="false" ht="15" hidden="false" customHeight="false" outlineLevel="0" collapsed="false">
      <c r="A27" s="29" t="n">
        <v>0.039</v>
      </c>
      <c r="B27" s="29" t="n">
        <v>0.254</v>
      </c>
    </row>
    <row r="28" customFormat="false" ht="15" hidden="false" customHeight="false" outlineLevel="0" collapsed="false">
      <c r="A28" s="29" t="n">
        <v>0.04</v>
      </c>
      <c r="B28" s="29" t="n">
        <v>0.256</v>
      </c>
    </row>
    <row r="29" customFormat="false" ht="15" hidden="false" customHeight="false" outlineLevel="0" collapsed="false">
      <c r="A29" s="29" t="n">
        <v>0.041</v>
      </c>
      <c r="B29" s="29" t="n">
        <v>0.258</v>
      </c>
    </row>
    <row r="30" customFormat="false" ht="15" hidden="false" customHeight="false" outlineLevel="0" collapsed="false">
      <c r="A30" s="29" t="n">
        <v>0.042</v>
      </c>
      <c r="B30" s="29" t="n">
        <v>0.259</v>
      </c>
    </row>
    <row r="31" customFormat="false" ht="15" hidden="false" customHeight="false" outlineLevel="0" collapsed="false">
      <c r="A31" s="29" t="n">
        <v>0.043</v>
      </c>
      <c r="B31" s="29" t="n">
        <v>0.261</v>
      </c>
    </row>
    <row r="32" customFormat="false" ht="15" hidden="false" customHeight="false" outlineLevel="0" collapsed="false">
      <c r="A32" s="29" t="n">
        <v>0.044</v>
      </c>
      <c r="B32" s="29" t="n">
        <v>0.263</v>
      </c>
    </row>
    <row r="33" customFormat="false" ht="15" hidden="false" customHeight="false" outlineLevel="0" collapsed="false">
      <c r="A33" s="29" t="n">
        <v>0.045</v>
      </c>
      <c r="B33" s="29" t="n">
        <v>0.265</v>
      </c>
    </row>
    <row r="34" customFormat="false" ht="15" hidden="false" customHeight="false" outlineLevel="0" collapsed="false">
      <c r="A34" s="29" t="n">
        <v>0.046</v>
      </c>
      <c r="B34" s="29" t="n">
        <v>0.266</v>
      </c>
    </row>
    <row r="35" customFormat="false" ht="15" hidden="false" customHeight="false" outlineLevel="0" collapsed="false">
      <c r="A35" s="29" t="n">
        <v>0.047</v>
      </c>
      <c r="B35" s="29" t="n">
        <v>0.268</v>
      </c>
    </row>
    <row r="36" customFormat="false" ht="15" hidden="false" customHeight="false" outlineLevel="0" collapsed="false">
      <c r="A36" s="29" t="n">
        <v>0.048</v>
      </c>
      <c r="B36" s="29" t="n">
        <v>0.27</v>
      </c>
    </row>
    <row r="37" customFormat="false" ht="15" hidden="false" customHeight="false" outlineLevel="0" collapsed="false">
      <c r="A37" s="29" t="n">
        <v>0.049</v>
      </c>
      <c r="B37" s="29" t="n">
        <v>0.271</v>
      </c>
    </row>
    <row r="38" customFormat="false" ht="15" hidden="false" customHeight="false" outlineLevel="0" collapsed="false">
      <c r="A38" s="29" t="n">
        <v>0.05</v>
      </c>
      <c r="B38" s="29" t="n">
        <v>0.273</v>
      </c>
    </row>
    <row r="39" customFormat="false" ht="15" hidden="false" customHeight="false" outlineLevel="0" collapsed="false">
      <c r="A39" s="29" t="n">
        <v>0.052</v>
      </c>
      <c r="B39" s="29" t="n">
        <v>0.276</v>
      </c>
    </row>
    <row r="40" customFormat="false" ht="15" hidden="false" customHeight="false" outlineLevel="0" collapsed="false">
      <c r="A40" s="29" t="n">
        <v>0.054</v>
      </c>
      <c r="B40" s="29" t="n">
        <v>0.28</v>
      </c>
    </row>
    <row r="41" customFormat="false" ht="15" hidden="false" customHeight="false" outlineLevel="0" collapsed="false">
      <c r="A41" s="29" t="n">
        <v>0.056</v>
      </c>
      <c r="B41" s="29" t="n">
        <v>0.283</v>
      </c>
    </row>
    <row r="42" customFormat="false" ht="15" hidden="false" customHeight="false" outlineLevel="0" collapsed="false">
      <c r="A42" s="29" t="n">
        <v>0.058</v>
      </c>
      <c r="B42" s="29" t="n">
        <v>0.286</v>
      </c>
    </row>
    <row r="43" customFormat="false" ht="15" hidden="false" customHeight="false" outlineLevel="0" collapsed="false">
      <c r="A43" s="29" t="n">
        <v>0.06</v>
      </c>
      <c r="B43" s="29" t="n">
        <v>0.289</v>
      </c>
    </row>
    <row r="44" customFormat="false" ht="15" hidden="false" customHeight="false" outlineLevel="0" collapsed="false">
      <c r="A44" s="29" t="n">
        <v>0.062</v>
      </c>
      <c r="B44" s="29" t="n">
        <v>0.292</v>
      </c>
    </row>
    <row r="45" customFormat="false" ht="15" hidden="false" customHeight="false" outlineLevel="0" collapsed="false">
      <c r="A45" s="29" t="n">
        <v>0.064</v>
      </c>
      <c r="B45" s="29" t="n">
        <v>0.295</v>
      </c>
    </row>
    <row r="46" customFormat="false" ht="15" hidden="false" customHeight="false" outlineLevel="0" collapsed="false">
      <c r="A46" s="29" t="n">
        <v>0.065</v>
      </c>
      <c r="B46" s="29" t="n">
        <v>0.298</v>
      </c>
    </row>
    <row r="47" customFormat="false" ht="15" hidden="false" customHeight="false" outlineLevel="0" collapsed="false">
      <c r="A47" s="29" t="n">
        <v>0.068</v>
      </c>
      <c r="B47" s="29" t="n">
        <v>0.301</v>
      </c>
    </row>
    <row r="48" customFormat="false" ht="15" hidden="false" customHeight="false" outlineLevel="0" collapsed="false">
      <c r="A48" s="29" t="n">
        <v>0.07</v>
      </c>
      <c r="B48" s="29" t="n">
        <v>0.304</v>
      </c>
    </row>
    <row r="49" customFormat="false" ht="15" hidden="false" customHeight="false" outlineLevel="0" collapsed="false">
      <c r="A49" s="29" t="n">
        <v>0.072</v>
      </c>
      <c r="B49" s="29" t="n">
        <v>0.307</v>
      </c>
    </row>
    <row r="50" customFormat="false" ht="15" hidden="false" customHeight="false" outlineLevel="0" collapsed="false">
      <c r="A50" s="29" t="n">
        <v>0.074</v>
      </c>
      <c r="B50" s="29" t="n">
        <v>0.309</v>
      </c>
    </row>
    <row r="51" customFormat="false" ht="15" hidden="false" customHeight="false" outlineLevel="0" collapsed="false">
      <c r="A51" s="29" t="n">
        <v>0.076</v>
      </c>
      <c r="B51" s="29" t="n">
        <v>0.312</v>
      </c>
    </row>
    <row r="52" customFormat="false" ht="15" hidden="false" customHeight="false" outlineLevel="0" collapsed="false">
      <c r="A52" s="29" t="n">
        <v>0.078</v>
      </c>
      <c r="B52" s="29" t="n">
        <v>0.315</v>
      </c>
    </row>
    <row r="53" customFormat="false" ht="15" hidden="false" customHeight="false" outlineLevel="0" collapsed="false">
      <c r="A53" s="29" t="n">
        <v>0.08</v>
      </c>
      <c r="B53" s="29" t="n">
        <v>0.318</v>
      </c>
    </row>
    <row r="54" customFormat="false" ht="15" hidden="false" customHeight="false" outlineLevel="0" collapsed="false">
      <c r="A54" s="29" t="n">
        <v>0.082</v>
      </c>
      <c r="B54" s="29" t="n">
        <v>0.32</v>
      </c>
    </row>
    <row r="55" customFormat="false" ht="15" hidden="false" customHeight="false" outlineLevel="0" collapsed="false">
      <c r="A55" s="29" t="n">
        <v>0.084</v>
      </c>
      <c r="B55" s="29" t="n">
        <v>0.323</v>
      </c>
    </row>
    <row r="56" customFormat="false" ht="15" hidden="false" customHeight="false" outlineLevel="0" collapsed="false">
      <c r="A56" s="29" t="n">
        <v>0.086</v>
      </c>
      <c r="B56" s="29" t="n">
        <v>0.326</v>
      </c>
    </row>
    <row r="57" customFormat="false" ht="15" hidden="false" customHeight="false" outlineLevel="0" collapsed="false">
      <c r="A57" s="29" t="n">
        <v>0.088</v>
      </c>
      <c r="B57" s="29" t="n">
        <v>0.328</v>
      </c>
    </row>
    <row r="58" customFormat="false" ht="15" hidden="false" customHeight="false" outlineLevel="0" collapsed="false">
      <c r="A58" s="29" t="n">
        <v>0.09</v>
      </c>
      <c r="B58" s="29" t="n">
        <v>0.331</v>
      </c>
    </row>
    <row r="59" customFormat="false" ht="15" hidden="false" customHeight="false" outlineLevel="0" collapsed="false">
      <c r="A59" s="29" t="n">
        <v>0.092</v>
      </c>
      <c r="B59" s="29" t="n">
        <v>0.333</v>
      </c>
    </row>
    <row r="60" customFormat="false" ht="15" hidden="false" customHeight="false" outlineLevel="0" collapsed="false">
      <c r="A60" s="29" t="n">
        <v>0.094</v>
      </c>
      <c r="B60" s="29" t="n">
        <v>0.336</v>
      </c>
    </row>
    <row r="61" customFormat="false" ht="15" hidden="false" customHeight="false" outlineLevel="0" collapsed="false">
      <c r="A61" s="29" t="n">
        <v>0.096</v>
      </c>
      <c r="B61" s="29" t="n">
        <v>0.338</v>
      </c>
    </row>
    <row r="62" customFormat="false" ht="15" hidden="false" customHeight="false" outlineLevel="0" collapsed="false">
      <c r="A62" s="29" t="n">
        <v>0.098</v>
      </c>
      <c r="B62" s="29" t="n">
        <v>0.341</v>
      </c>
    </row>
    <row r="63" customFormat="false" ht="15" hidden="false" customHeight="false" outlineLevel="0" collapsed="false">
      <c r="A63" s="29" t="n">
        <v>0.1</v>
      </c>
      <c r="B63" s="29" t="n">
        <v>0.343</v>
      </c>
    </row>
    <row r="64" customFormat="false" ht="15" hidden="false" customHeight="false" outlineLevel="0" collapsed="false">
      <c r="A64" s="29" t="n">
        <v>0.105</v>
      </c>
      <c r="B64" s="29" t="n">
        <v>0.349</v>
      </c>
    </row>
    <row r="65" customFormat="false" ht="15" hidden="false" customHeight="false" outlineLevel="0" collapsed="false">
      <c r="A65" s="29" t="n">
        <v>0.11</v>
      </c>
      <c r="B65" s="29" t="n">
        <v>0.355</v>
      </c>
    </row>
    <row r="66" customFormat="false" ht="15" hidden="false" customHeight="false" outlineLevel="0" collapsed="false">
      <c r="A66" s="29" t="n">
        <v>0.115</v>
      </c>
      <c r="B66" s="29" t="n">
        <v>0.361</v>
      </c>
    </row>
    <row r="67" customFormat="false" ht="15" hidden="false" customHeight="false" outlineLevel="0" collapsed="false">
      <c r="A67" s="29" t="n">
        <v>0.12</v>
      </c>
      <c r="B67" s="29" t="n">
        <v>0.367</v>
      </c>
    </row>
    <row r="68" customFormat="false" ht="15" hidden="false" customHeight="false" outlineLevel="0" collapsed="false">
      <c r="A68" s="29" t="n">
        <v>0.125</v>
      </c>
      <c r="B68" s="29" t="n">
        <v>0.373</v>
      </c>
    </row>
    <row r="69" customFormat="false" ht="15" hidden="false" customHeight="false" outlineLevel="0" collapsed="false">
      <c r="A69" s="29" t="n">
        <v>0.13</v>
      </c>
      <c r="B69" s="29" t="n">
        <v>0.378</v>
      </c>
    </row>
    <row r="70" customFormat="false" ht="15" hidden="false" customHeight="false" outlineLevel="0" collapsed="false">
      <c r="A70" s="29" t="n">
        <v>0.135</v>
      </c>
      <c r="B70" s="29" t="n">
        <v>0.384</v>
      </c>
    </row>
    <row r="71" customFormat="false" ht="15" hidden="false" customHeight="false" outlineLevel="0" collapsed="false">
      <c r="A71" s="29" t="n">
        <v>0.14</v>
      </c>
      <c r="B71" s="29" t="n">
        <v>0.389</v>
      </c>
    </row>
    <row r="72" customFormat="false" ht="15" hidden="false" customHeight="false" outlineLevel="0" collapsed="false">
      <c r="A72" s="29" t="n">
        <v>0.145</v>
      </c>
      <c r="B72" s="29" t="n">
        <v>0.394</v>
      </c>
    </row>
    <row r="73" customFormat="false" ht="15" hidden="false" customHeight="false" outlineLevel="0" collapsed="false">
      <c r="A73" s="29" t="n">
        <v>0.15</v>
      </c>
      <c r="B73" s="29" t="n">
        <v>0.399</v>
      </c>
    </row>
    <row r="74" customFormat="false" ht="15" hidden="false" customHeight="false" outlineLevel="0" collapsed="false">
      <c r="A74" s="29" t="n">
        <v>0.155</v>
      </c>
      <c r="B74" s="29" t="n">
        <v>0.405</v>
      </c>
    </row>
    <row r="75" customFormat="false" ht="15" hidden="false" customHeight="false" outlineLevel="0" collapsed="false">
      <c r="A75" s="29" t="n">
        <v>0.16</v>
      </c>
      <c r="B75" s="29" t="n">
        <v>0.41</v>
      </c>
    </row>
    <row r="76" customFormat="false" ht="15" hidden="false" customHeight="false" outlineLevel="0" collapsed="false">
      <c r="A76" s="29" t="n">
        <v>0.165</v>
      </c>
      <c r="B76" s="29" t="n">
        <v>0.415</v>
      </c>
    </row>
    <row r="77" customFormat="false" ht="15" hidden="false" customHeight="false" outlineLevel="0" collapsed="false">
      <c r="A77" s="29" t="n">
        <v>0.17</v>
      </c>
      <c r="B77" s="29" t="n">
        <v>0.42</v>
      </c>
    </row>
    <row r="78" customFormat="false" ht="15" hidden="false" customHeight="false" outlineLevel="0" collapsed="false">
      <c r="A78" s="29" t="n">
        <v>0.175</v>
      </c>
      <c r="B78" s="29" t="n">
        <v>0.425</v>
      </c>
    </row>
    <row r="79" customFormat="false" ht="15" hidden="false" customHeight="false" outlineLevel="0" collapsed="false">
      <c r="A79" s="29" t="n">
        <v>0.18</v>
      </c>
      <c r="B79" s="29" t="n">
        <v>0.43</v>
      </c>
    </row>
    <row r="80" customFormat="false" ht="15" hidden="false" customHeight="false" outlineLevel="0" collapsed="false">
      <c r="A80" s="29" t="n">
        <v>0.185</v>
      </c>
      <c r="B80" s="29" t="n">
        <v>0.435</v>
      </c>
    </row>
    <row r="81" customFormat="false" ht="15" hidden="false" customHeight="false" outlineLevel="0" collapsed="false">
      <c r="A81" s="29" t="n">
        <v>0.19</v>
      </c>
      <c r="B81" s="29" t="n">
        <v>0.439</v>
      </c>
    </row>
    <row r="82" customFormat="false" ht="15" hidden="false" customHeight="false" outlineLevel="0" collapsed="false">
      <c r="A82" s="29" t="n">
        <v>0.195</v>
      </c>
      <c r="B82" s="29" t="n">
        <v>0.444</v>
      </c>
    </row>
    <row r="83" customFormat="false" ht="15" hidden="false" customHeight="false" outlineLevel="0" collapsed="false">
      <c r="A83" s="29" t="n">
        <v>0.2</v>
      </c>
      <c r="B83" s="29" t="n">
        <v>0.449</v>
      </c>
    </row>
    <row r="84" customFormat="false" ht="15" hidden="false" customHeight="false" outlineLevel="0" collapsed="false">
      <c r="A84" s="29" t="n">
        <v>0.21</v>
      </c>
      <c r="B84" s="29" t="n">
        <v>0.458</v>
      </c>
    </row>
    <row r="85" customFormat="false" ht="15" hidden="false" customHeight="false" outlineLevel="0" collapsed="false">
      <c r="A85" s="29" t="n">
        <v>0.22</v>
      </c>
      <c r="B85" s="29" t="n">
        <v>0.467</v>
      </c>
    </row>
    <row r="86" customFormat="false" ht="15" hidden="false" customHeight="false" outlineLevel="0" collapsed="false">
      <c r="A86" s="29" t="n">
        <v>0.23</v>
      </c>
      <c r="B86" s="29" t="n">
        <v>0.476</v>
      </c>
    </row>
    <row r="87" customFormat="false" ht="15" hidden="false" customHeight="false" outlineLevel="0" collapsed="false">
      <c r="A87" s="29" t="n">
        <v>0.24</v>
      </c>
      <c r="B87" s="29" t="n">
        <v>0.485</v>
      </c>
    </row>
    <row r="88" customFormat="false" ht="15" hidden="false" customHeight="false" outlineLevel="0" collapsed="false">
      <c r="A88" s="29" t="n">
        <v>0.25</v>
      </c>
      <c r="B88" s="29" t="n">
        <v>0.493</v>
      </c>
    </row>
    <row r="89" customFormat="false" ht="15" hidden="false" customHeight="false" outlineLevel="0" collapsed="false">
      <c r="A89" s="29" t="n">
        <v>0.26</v>
      </c>
      <c r="B89" s="29" t="n">
        <v>0.502</v>
      </c>
    </row>
    <row r="90" customFormat="false" ht="15" hidden="false" customHeight="false" outlineLevel="0" collapsed="false">
      <c r="A90" s="29" t="n">
        <v>0.27</v>
      </c>
      <c r="B90" s="29" t="n">
        <v>0.51</v>
      </c>
    </row>
    <row r="91" customFormat="false" ht="15" hidden="false" customHeight="false" outlineLevel="0" collapsed="false">
      <c r="A91" s="29" t="n">
        <v>0.28</v>
      </c>
      <c r="B91" s="29" t="n">
        <v>0.518</v>
      </c>
    </row>
    <row r="92" customFormat="false" ht="15" hidden="false" customHeight="false" outlineLevel="0" collapsed="false">
      <c r="A92" s="29" t="n">
        <v>0.29</v>
      </c>
      <c r="B92" s="29" t="n">
        <v>0.526</v>
      </c>
    </row>
    <row r="93" customFormat="false" ht="15" hidden="false" customHeight="false" outlineLevel="0" collapsed="false">
      <c r="A93" s="29" t="n">
        <v>0.3</v>
      </c>
      <c r="B93" s="29" t="n">
        <v>0.534</v>
      </c>
    </row>
    <row r="94" customFormat="false" ht="15" hidden="false" customHeight="false" outlineLevel="0" collapsed="false">
      <c r="A94" s="29" t="n">
        <v>0.31</v>
      </c>
      <c r="B94" s="29" t="n">
        <v>0.542</v>
      </c>
    </row>
    <row r="95" customFormat="false" ht="15" hidden="false" customHeight="false" outlineLevel="0" collapsed="false">
      <c r="A95" s="29" t="n">
        <v>0.32</v>
      </c>
      <c r="B95" s="29" t="n">
        <v>0.55</v>
      </c>
    </row>
    <row r="96" customFormat="false" ht="15" hidden="false" customHeight="false" outlineLevel="0" collapsed="false">
      <c r="A96" s="29" t="n">
        <v>0.33</v>
      </c>
      <c r="B96" s="29" t="n">
        <v>0.558</v>
      </c>
    </row>
    <row r="97" customFormat="false" ht="15" hidden="false" customHeight="false" outlineLevel="0" collapsed="false">
      <c r="A97" s="29" t="n">
        <v>0.34</v>
      </c>
      <c r="B97" s="29" t="n">
        <v>0.565</v>
      </c>
    </row>
    <row r="98" customFormat="false" ht="15" hidden="false" customHeight="false" outlineLevel="0" collapsed="false">
      <c r="A98" s="29" t="n">
        <v>0.35</v>
      </c>
      <c r="B98" s="29" t="n">
        <v>0.573</v>
      </c>
    </row>
    <row r="99" customFormat="false" ht="15" hidden="false" customHeight="false" outlineLevel="0" collapsed="false">
      <c r="A99" s="29" t="n">
        <v>0.36</v>
      </c>
      <c r="B99" s="29" t="n">
        <v>0.58</v>
      </c>
    </row>
    <row r="100" customFormat="false" ht="15" hidden="false" customHeight="false" outlineLevel="0" collapsed="false">
      <c r="A100" s="29" t="n">
        <v>0.37</v>
      </c>
      <c r="B100" s="29" t="n">
        <v>0.588</v>
      </c>
    </row>
    <row r="101" customFormat="false" ht="15" hidden="false" customHeight="false" outlineLevel="0" collapsed="false">
      <c r="A101" s="29" t="n">
        <v>0.38</v>
      </c>
      <c r="B101" s="29" t="n">
        <v>0.595</v>
      </c>
    </row>
    <row r="102" customFormat="false" ht="15" hidden="false" customHeight="false" outlineLevel="0" collapsed="false">
      <c r="A102" s="29" t="n">
        <v>0.39</v>
      </c>
      <c r="B102" s="29" t="n">
        <v>0.602</v>
      </c>
    </row>
    <row r="103" customFormat="false" ht="15" hidden="false" customHeight="false" outlineLevel="0" collapsed="false">
      <c r="A103" s="29" t="n">
        <v>0.4</v>
      </c>
      <c r="B103" s="29" t="n">
        <v>0.61</v>
      </c>
    </row>
    <row r="104" customFormat="false" ht="15" hidden="false" customHeight="false" outlineLevel="0" collapsed="false">
      <c r="A104" s="29" t="n">
        <v>0.41</v>
      </c>
      <c r="B104" s="29" t="n">
        <v>0.617</v>
      </c>
    </row>
    <row r="105" customFormat="false" ht="15" hidden="false" customHeight="false" outlineLevel="0" collapsed="false">
      <c r="A105" s="29" t="n">
        <v>0.42</v>
      </c>
      <c r="B105" s="29" t="n">
        <v>0.624</v>
      </c>
    </row>
    <row r="106" customFormat="false" ht="15" hidden="false" customHeight="false" outlineLevel="0" collapsed="false">
      <c r="A106" s="29" t="n">
        <v>0.43</v>
      </c>
      <c r="B106" s="29" t="n">
        <v>0.631</v>
      </c>
    </row>
    <row r="107" customFormat="false" ht="15" hidden="false" customHeight="false" outlineLevel="0" collapsed="false">
      <c r="A107" s="29" t="n">
        <v>0.44</v>
      </c>
      <c r="B107" s="29" t="n">
        <v>0.638</v>
      </c>
    </row>
    <row r="108" customFormat="false" ht="15" hidden="false" customHeight="false" outlineLevel="0" collapsed="false">
      <c r="A108" s="29" t="n">
        <v>0.45</v>
      </c>
      <c r="B108" s="29" t="n">
        <v>0.645</v>
      </c>
    </row>
    <row r="109" customFormat="false" ht="15" hidden="false" customHeight="false" outlineLevel="0" collapsed="false">
      <c r="A109" s="29" t="n">
        <v>0.46</v>
      </c>
      <c r="B109" s="29" t="n">
        <v>0.652</v>
      </c>
    </row>
    <row r="110" customFormat="false" ht="15" hidden="false" customHeight="false" outlineLevel="0" collapsed="false">
      <c r="A110" s="29" t="n">
        <v>0.47</v>
      </c>
      <c r="B110" s="29" t="n">
        <v>0.658</v>
      </c>
    </row>
    <row r="111" customFormat="false" ht="15" hidden="false" customHeight="false" outlineLevel="0" collapsed="false">
      <c r="A111" s="29" t="n">
        <v>0.48</v>
      </c>
      <c r="B111" s="29" t="n">
        <v>0.665</v>
      </c>
    </row>
    <row r="112" customFormat="false" ht="15" hidden="false" customHeight="false" outlineLevel="0" collapsed="false">
      <c r="A112" s="29" t="n">
        <v>0.49</v>
      </c>
      <c r="B112" s="29" t="n">
        <v>0.672</v>
      </c>
    </row>
    <row r="113" customFormat="false" ht="15" hidden="false" customHeight="false" outlineLevel="0" collapsed="false">
      <c r="A113" s="29" t="n">
        <v>0.5</v>
      </c>
      <c r="B113" s="29" t="n">
        <v>0.678</v>
      </c>
    </row>
    <row r="114" customFormat="false" ht="15" hidden="false" customHeight="false" outlineLevel="0" collapsed="false">
      <c r="A114" s="29" t="n">
        <v>0.52</v>
      </c>
      <c r="B114" s="29" t="n">
        <v>0.692</v>
      </c>
    </row>
    <row r="115" customFormat="false" ht="15" hidden="false" customHeight="false" outlineLevel="0" collapsed="false">
      <c r="A115" s="29" t="n">
        <v>0.54</v>
      </c>
      <c r="B115" s="29" t="n">
        <v>0.704</v>
      </c>
    </row>
    <row r="116" customFormat="false" ht="15" hidden="false" customHeight="false" outlineLevel="0" collapsed="false">
      <c r="A116" s="29" t="n">
        <v>0.56</v>
      </c>
      <c r="B116" s="29" t="n">
        <v>0.717</v>
      </c>
    </row>
    <row r="117" customFormat="false" ht="15" hidden="false" customHeight="false" outlineLevel="0" collapsed="false">
      <c r="A117" s="29" t="n">
        <v>0.58</v>
      </c>
      <c r="B117" s="29" t="n">
        <v>0.73</v>
      </c>
    </row>
    <row r="118" customFormat="false" ht="15" hidden="false" customHeight="false" outlineLevel="0" collapsed="false">
      <c r="A118" s="29" t="n">
        <v>0.6</v>
      </c>
      <c r="B118" s="29" t="n">
        <v>0.742</v>
      </c>
    </row>
    <row r="119" customFormat="false" ht="15" hidden="false" customHeight="false" outlineLevel="0" collapsed="false">
      <c r="A119" s="29" t="n">
        <v>0.62</v>
      </c>
      <c r="B119" s="29" t="n">
        <v>0.755</v>
      </c>
    </row>
    <row r="120" customFormat="false" ht="15" hidden="false" customHeight="false" outlineLevel="0" collapsed="false">
      <c r="A120" s="29" t="n">
        <v>0.64</v>
      </c>
      <c r="B120" s="29" t="n">
        <v>0.767</v>
      </c>
    </row>
    <row r="121" customFormat="false" ht="15" hidden="false" customHeight="false" outlineLevel="0" collapsed="false">
      <c r="A121" s="29" t="n">
        <v>0.66</v>
      </c>
      <c r="B121" s="29" t="n">
        <v>0.779</v>
      </c>
    </row>
    <row r="122" customFormat="false" ht="15" hidden="false" customHeight="false" outlineLevel="0" collapsed="false">
      <c r="A122" s="29" t="n">
        <v>0.68</v>
      </c>
      <c r="B122" s="29" t="n">
        <v>0.791</v>
      </c>
    </row>
    <row r="123" customFormat="false" ht="15" hidden="false" customHeight="false" outlineLevel="0" collapsed="false">
      <c r="A123" s="29" t="n">
        <v>0.7</v>
      </c>
      <c r="B123" s="29" t="n">
        <v>0.803</v>
      </c>
    </row>
    <row r="124" customFormat="false" ht="15" hidden="false" customHeight="false" outlineLevel="0" collapsed="false">
      <c r="A124" s="29" t="n">
        <v>0.72</v>
      </c>
      <c r="B124" s="29" t="n">
        <v>0.815</v>
      </c>
    </row>
    <row r="125" customFormat="false" ht="15" hidden="false" customHeight="false" outlineLevel="0" collapsed="false">
      <c r="A125" s="29" t="n">
        <v>0.74</v>
      </c>
      <c r="B125" s="29" t="n">
        <v>0.826</v>
      </c>
    </row>
    <row r="126" customFormat="false" ht="15" hidden="false" customHeight="false" outlineLevel="0" collapsed="false">
      <c r="A126" s="29" t="n">
        <v>0.76</v>
      </c>
      <c r="B126" s="29" t="n">
        <v>0.838</v>
      </c>
    </row>
    <row r="127" customFormat="false" ht="15" hidden="false" customHeight="false" outlineLevel="0" collapsed="false">
      <c r="A127" s="29" t="n">
        <v>0.78</v>
      </c>
      <c r="B127" s="29" t="n">
        <v>0.849</v>
      </c>
    </row>
    <row r="128" customFormat="false" ht="15" hidden="false" customHeight="false" outlineLevel="0" collapsed="false">
      <c r="A128" s="29" t="n">
        <v>0.8</v>
      </c>
      <c r="B128" s="29" t="n">
        <v>0.86</v>
      </c>
    </row>
    <row r="129" customFormat="false" ht="15" hidden="false" customHeight="false" outlineLevel="0" collapsed="false">
      <c r="A129" s="29" t="n">
        <v>0.82</v>
      </c>
      <c r="B129" s="29" t="n">
        <v>0.872</v>
      </c>
    </row>
    <row r="130" customFormat="false" ht="15" hidden="false" customHeight="false" outlineLevel="0" collapsed="false">
      <c r="A130" s="29" t="n">
        <v>0.84</v>
      </c>
      <c r="B130" s="29" t="n">
        <v>0.883</v>
      </c>
    </row>
    <row r="131" customFormat="false" ht="15" hidden="false" customHeight="false" outlineLevel="0" collapsed="false">
      <c r="A131" s="29" t="n">
        <v>0.86</v>
      </c>
      <c r="B131" s="29" t="n">
        <v>0.894</v>
      </c>
    </row>
    <row r="132" customFormat="false" ht="15" hidden="false" customHeight="false" outlineLevel="0" collapsed="false">
      <c r="A132" s="29" t="n">
        <v>0.88</v>
      </c>
      <c r="B132" s="29" t="n">
        <v>0.905</v>
      </c>
    </row>
    <row r="133" customFormat="false" ht="15" hidden="false" customHeight="false" outlineLevel="0" collapsed="false">
      <c r="A133" s="29" t="n">
        <v>0.9</v>
      </c>
      <c r="B133" s="29" t="n">
        <v>0.916</v>
      </c>
    </row>
    <row r="134" customFormat="false" ht="15" hidden="false" customHeight="false" outlineLevel="0" collapsed="false">
      <c r="A134" s="29" t="n">
        <v>0.92</v>
      </c>
      <c r="B134" s="29" t="n">
        <v>0.927</v>
      </c>
    </row>
    <row r="135" customFormat="false" ht="15" hidden="false" customHeight="false" outlineLevel="0" collapsed="false">
      <c r="A135" s="29" t="n">
        <v>0.94</v>
      </c>
      <c r="B135" s="29" t="n">
        <v>0.937</v>
      </c>
    </row>
    <row r="136" customFormat="false" ht="15" hidden="false" customHeight="false" outlineLevel="0" collapsed="false">
      <c r="A136" s="29" t="n">
        <v>0.96</v>
      </c>
      <c r="B136" s="29" t="n">
        <v>0.948</v>
      </c>
    </row>
    <row r="137" customFormat="false" ht="15" hidden="false" customHeight="false" outlineLevel="0" collapsed="false">
      <c r="A137" s="29" t="n">
        <v>0.98</v>
      </c>
      <c r="B137" s="29" t="n">
        <v>0.959</v>
      </c>
    </row>
    <row r="138" customFormat="false" ht="15" hidden="false" customHeight="false" outlineLevel="0" collapsed="false">
      <c r="A138" s="29" t="n">
        <v>1</v>
      </c>
      <c r="B138" s="29" t="n">
        <v>0.969</v>
      </c>
    </row>
    <row r="139" customFormat="false" ht="15" hidden="false" customHeight="false" outlineLevel="0" collapsed="false">
      <c r="A139" s="29" t="n">
        <v>1.05</v>
      </c>
      <c r="B139" s="29" t="n">
        <v>0.995</v>
      </c>
    </row>
    <row r="140" customFormat="false" ht="15" hidden="false" customHeight="false" outlineLevel="0" collapsed="false">
      <c r="A140" s="29" t="n">
        <v>1.1</v>
      </c>
      <c r="B140" s="29" t="n">
        <v>1.021</v>
      </c>
    </row>
    <row r="141" customFormat="false" ht="15" hidden="false" customHeight="false" outlineLevel="0" collapsed="false">
      <c r="A141" s="29" t="n">
        <v>1.15</v>
      </c>
      <c r="B141" s="29" t="n">
        <v>1.046</v>
      </c>
    </row>
    <row r="142" customFormat="false" ht="15" hidden="false" customHeight="false" outlineLevel="0" collapsed="false">
      <c r="A142" s="29" t="n">
        <v>1.2</v>
      </c>
      <c r="B142" s="29" t="n">
        <v>1.071</v>
      </c>
    </row>
    <row r="143" customFormat="false" ht="15" hidden="false" customHeight="false" outlineLevel="0" collapsed="false">
      <c r="A143" s="29" t="n">
        <v>1.25</v>
      </c>
      <c r="B143" s="29" t="n">
        <v>1.096</v>
      </c>
    </row>
    <row r="144" customFormat="false" ht="15" hidden="false" customHeight="false" outlineLevel="0" collapsed="false">
      <c r="A144" s="29" t="n">
        <v>1.3</v>
      </c>
      <c r="B144" s="29" t="n">
        <v>1.12</v>
      </c>
    </row>
    <row r="145" customFormat="false" ht="15" hidden="false" customHeight="false" outlineLevel="0" collapsed="false">
      <c r="A145" s="29" t="n">
        <v>1.35</v>
      </c>
      <c r="B145" s="29" t="n">
        <v>1.144</v>
      </c>
    </row>
    <row r="146" customFormat="false" ht="15" hidden="false" customHeight="false" outlineLevel="0" collapsed="false">
      <c r="A146" s="29" t="n">
        <v>1.4</v>
      </c>
      <c r="B146" s="29" t="n">
        <v>1.168</v>
      </c>
    </row>
    <row r="147" customFormat="false" ht="15" hidden="false" customHeight="false" outlineLevel="0" collapsed="false">
      <c r="A147" s="29" t="n">
        <v>1.45</v>
      </c>
      <c r="B147" s="29" t="n">
        <v>1.191</v>
      </c>
    </row>
    <row r="148" customFormat="false" ht="15" hidden="false" customHeight="false" outlineLevel="0" collapsed="false">
      <c r="A148" s="29" t="n">
        <v>1.5</v>
      </c>
      <c r="B148" s="29" t="n">
        <v>1.215</v>
      </c>
    </row>
    <row r="149" customFormat="false" ht="15" hidden="false" customHeight="false" outlineLevel="0" collapsed="false">
      <c r="A149" s="29" t="n">
        <v>1.55</v>
      </c>
      <c r="B149" s="29" t="n">
        <v>1.238</v>
      </c>
    </row>
    <row r="150" customFormat="false" ht="15" hidden="false" customHeight="false" outlineLevel="0" collapsed="false">
      <c r="A150" s="29" t="n">
        <v>1.6</v>
      </c>
      <c r="B150" s="29" t="n">
        <v>1.261</v>
      </c>
    </row>
    <row r="151" customFormat="false" ht="15" hidden="false" customHeight="false" outlineLevel="0" collapsed="false">
      <c r="A151" s="29" t="n">
        <v>1.65</v>
      </c>
      <c r="B151" s="29" t="n">
        <v>1.283</v>
      </c>
    </row>
    <row r="152" customFormat="false" ht="15" hidden="false" customHeight="false" outlineLevel="0" collapsed="false">
      <c r="A152" s="29" t="n">
        <v>1.7</v>
      </c>
      <c r="B152" s="29" t="n">
        <v>1.306</v>
      </c>
    </row>
    <row r="153" customFormat="false" ht="15" hidden="false" customHeight="false" outlineLevel="0" collapsed="false">
      <c r="A153" s="29" t="n">
        <v>1.75</v>
      </c>
      <c r="B153" s="29" t="n">
        <v>1.328</v>
      </c>
    </row>
    <row r="154" customFormat="false" ht="15" hidden="false" customHeight="false" outlineLevel="0" collapsed="false">
      <c r="A154" s="29" t="n">
        <v>1.8</v>
      </c>
      <c r="B154" s="29" t="n">
        <v>1.35</v>
      </c>
    </row>
    <row r="155" customFormat="false" ht="15" hidden="false" customHeight="false" outlineLevel="0" collapsed="false">
      <c r="A155" s="29" t="n">
        <v>1.85</v>
      </c>
      <c r="B155" s="29" t="n">
        <v>1.372</v>
      </c>
    </row>
    <row r="156" customFormat="false" ht="15" hidden="false" customHeight="false" outlineLevel="0" collapsed="false">
      <c r="A156" s="29" t="n">
        <v>1.9</v>
      </c>
      <c r="B156" s="29" t="n">
        <v>1.394</v>
      </c>
    </row>
    <row r="157" customFormat="false" ht="15" hidden="false" customHeight="false" outlineLevel="0" collapsed="false">
      <c r="A157" s="29" t="n">
        <v>1.95</v>
      </c>
      <c r="B157" s="29" t="n">
        <v>1.416</v>
      </c>
    </row>
    <row r="158" customFormat="false" ht="15" hidden="false" customHeight="false" outlineLevel="0" collapsed="false">
      <c r="A158" s="29" t="n">
        <v>2</v>
      </c>
      <c r="B158" s="29" t="n">
        <v>1.437</v>
      </c>
    </row>
    <row r="159" customFormat="false" ht="15" hidden="false" customHeight="false" outlineLevel="0" collapsed="false">
      <c r="A159" s="29" t="n">
        <v>2.1</v>
      </c>
      <c r="B159" s="29" t="n">
        <v>1.479</v>
      </c>
    </row>
    <row r="160" customFormat="false" ht="15" hidden="false" customHeight="false" outlineLevel="0" collapsed="false">
      <c r="A160" s="29" t="n">
        <v>2.2</v>
      </c>
      <c r="B160" s="29" t="n">
        <v>1.521</v>
      </c>
    </row>
    <row r="161" customFormat="false" ht="15" hidden="false" customHeight="false" outlineLevel="0" collapsed="false">
      <c r="A161" s="29" t="n">
        <v>2.3</v>
      </c>
      <c r="B161" s="29" t="n">
        <v>1.563</v>
      </c>
    </row>
    <row r="162" customFormat="false" ht="15" hidden="false" customHeight="false" outlineLevel="0" collapsed="false">
      <c r="A162" s="29" t="n">
        <v>2.4</v>
      </c>
      <c r="B162" s="29" t="n">
        <v>1.604</v>
      </c>
    </row>
    <row r="163" customFormat="false" ht="15" hidden="false" customHeight="false" outlineLevel="0" collapsed="false">
      <c r="A163" s="29" t="n">
        <v>2.5</v>
      </c>
      <c r="B163" s="29" t="n">
        <v>1.644</v>
      </c>
    </row>
    <row r="164" customFormat="false" ht="15" hidden="false" customHeight="false" outlineLevel="0" collapsed="false">
      <c r="A164" s="29" t="n">
        <v>2.6</v>
      </c>
      <c r="B164" s="29" t="n">
        <v>1.684</v>
      </c>
    </row>
    <row r="165" customFormat="false" ht="15" hidden="false" customHeight="false" outlineLevel="0" collapsed="false">
      <c r="A165" s="29" t="n">
        <v>2.7</v>
      </c>
      <c r="B165" s="29" t="n">
        <v>1.724</v>
      </c>
    </row>
    <row r="166" customFormat="false" ht="15" hidden="false" customHeight="false" outlineLevel="0" collapsed="false">
      <c r="A166" s="29" t="n">
        <v>2.8</v>
      </c>
      <c r="B166" s="29" t="n">
        <v>1.763</v>
      </c>
    </row>
    <row r="167" customFormat="false" ht="15" hidden="false" customHeight="false" outlineLevel="0" collapsed="false">
      <c r="A167" s="29" t="n">
        <v>2.9</v>
      </c>
      <c r="B167" s="29" t="n">
        <v>1.802</v>
      </c>
    </row>
    <row r="168" customFormat="false" ht="15" hidden="false" customHeight="false" outlineLevel="0" collapsed="false">
      <c r="A168" s="29" t="n">
        <v>3</v>
      </c>
      <c r="B168" s="29" t="n">
        <v>1.84</v>
      </c>
    </row>
    <row r="169" customFormat="false" ht="15" hidden="false" customHeight="false" outlineLevel="0" collapsed="false">
      <c r="A169" s="29" t="n">
        <v>3.1</v>
      </c>
      <c r="B169" s="29" t="n">
        <v>1.879</v>
      </c>
    </row>
    <row r="170" customFormat="false" ht="15" hidden="false" customHeight="false" outlineLevel="0" collapsed="false">
      <c r="A170" s="29" t="n">
        <v>3.2</v>
      </c>
      <c r="B170" s="29" t="n">
        <v>1.917</v>
      </c>
    </row>
    <row r="171" customFormat="false" ht="15" hidden="false" customHeight="false" outlineLevel="0" collapsed="false">
      <c r="A171" s="29" t="n">
        <v>3.3</v>
      </c>
      <c r="B171" s="29" t="n">
        <v>1.954</v>
      </c>
    </row>
    <row r="172" customFormat="false" ht="15" hidden="false" customHeight="false" outlineLevel="0" collapsed="false">
      <c r="A172" s="29" t="n">
        <v>3.4</v>
      </c>
      <c r="B172" s="29" t="n">
        <v>1.991</v>
      </c>
    </row>
    <row r="173" customFormat="false" ht="15" hidden="false" customHeight="false" outlineLevel="0" collapsed="false">
      <c r="A173" s="29" t="n">
        <v>3.5</v>
      </c>
      <c r="B173" s="29" t="n">
        <v>2.029</v>
      </c>
    </row>
    <row r="174" customFormat="false" ht="15" hidden="false" customHeight="false" outlineLevel="0" collapsed="false">
      <c r="A174" s="29" t="n">
        <v>3.6</v>
      </c>
      <c r="B174" s="29" t="n">
        <v>2.065</v>
      </c>
    </row>
    <row r="175" customFormat="false" ht="15" hidden="false" customHeight="false" outlineLevel="0" collapsed="false">
      <c r="A175" s="29" t="n">
        <v>3.7</v>
      </c>
      <c r="B175" s="29" t="n">
        <v>2.102</v>
      </c>
    </row>
    <row r="176" customFormat="false" ht="15" hidden="false" customHeight="false" outlineLevel="0" collapsed="false">
      <c r="A176" s="29" t="n">
        <v>3.8</v>
      </c>
      <c r="B176" s="29" t="n">
        <v>2.138</v>
      </c>
    </row>
    <row r="177" customFormat="false" ht="15" hidden="false" customHeight="false" outlineLevel="0" collapsed="false">
      <c r="A177" s="29" t="n">
        <v>3.9</v>
      </c>
      <c r="B177" s="29" t="n">
        <v>2.174</v>
      </c>
    </row>
    <row r="178" customFormat="false" ht="15" hidden="false" customHeight="false" outlineLevel="0" collapsed="false">
      <c r="A178" s="29" t="n">
        <v>4</v>
      </c>
      <c r="B178" s="29" t="n">
        <v>2.21</v>
      </c>
    </row>
    <row r="179" customFormat="false" ht="15" hidden="false" customHeight="false" outlineLevel="0" collapsed="false">
      <c r="A179" s="29" t="n">
        <v>4.1</v>
      </c>
      <c r="B179" s="29" t="n">
        <v>2.246</v>
      </c>
    </row>
    <row r="180" customFormat="false" ht="15" hidden="false" customHeight="false" outlineLevel="0" collapsed="false">
      <c r="A180" s="29" t="n">
        <v>4.2</v>
      </c>
      <c r="B180" s="29" t="n">
        <v>2.281</v>
      </c>
    </row>
    <row r="181" customFormat="false" ht="15" hidden="false" customHeight="false" outlineLevel="0" collapsed="false">
      <c r="A181" s="29" t="n">
        <v>4.3</v>
      </c>
      <c r="B181" s="29" t="n">
        <v>2.317</v>
      </c>
    </row>
    <row r="182" customFormat="false" ht="15" hidden="false" customHeight="false" outlineLevel="0" collapsed="false">
      <c r="A182" s="29" t="n">
        <v>4.4</v>
      </c>
      <c r="B182" s="29" t="n">
        <v>2.352</v>
      </c>
    </row>
    <row r="183" customFormat="false" ht="15" hidden="false" customHeight="false" outlineLevel="0" collapsed="false">
      <c r="A183" s="29" t="n">
        <v>4.5</v>
      </c>
      <c r="B183" s="29" t="n">
        <v>2.386</v>
      </c>
    </row>
    <row r="184" customFormat="false" ht="15" hidden="false" customHeight="false" outlineLevel="0" collapsed="false">
      <c r="A184" s="29" t="n">
        <v>4.6</v>
      </c>
      <c r="B184" s="29" t="n">
        <v>2.421</v>
      </c>
    </row>
    <row r="185" customFormat="false" ht="15" hidden="false" customHeight="false" outlineLevel="0" collapsed="false">
      <c r="A185" s="29" t="n">
        <v>4.7</v>
      </c>
      <c r="B185" s="29" t="n">
        <v>2.456</v>
      </c>
    </row>
    <row r="186" customFormat="false" ht="15" hidden="false" customHeight="false" outlineLevel="0" collapsed="false">
      <c r="A186" s="29" t="n">
        <v>4.8</v>
      </c>
      <c r="B186" s="29" t="n">
        <v>2.49</v>
      </c>
    </row>
    <row r="187" customFormat="false" ht="15" hidden="false" customHeight="false" outlineLevel="0" collapsed="false">
      <c r="A187" s="29" t="n">
        <v>4.9</v>
      </c>
      <c r="B187" s="29" t="n">
        <v>2.524</v>
      </c>
    </row>
    <row r="188" customFormat="false" ht="15" hidden="false" customHeight="false" outlineLevel="0" collapsed="false">
      <c r="A188" s="29" t="n">
        <v>5</v>
      </c>
      <c r="B188" s="29" t="n">
        <v>2.558</v>
      </c>
    </row>
    <row r="189" customFormat="false" ht="15" hidden="false" customHeight="false" outlineLevel="0" collapsed="false">
      <c r="A189" s="29" t="n">
        <v>5.1</v>
      </c>
      <c r="B189" s="29" t="n">
        <v>2.592</v>
      </c>
    </row>
    <row r="190" customFormat="false" ht="15" hidden="false" customHeight="false" outlineLevel="0" collapsed="false">
      <c r="A190" s="29" t="n">
        <v>5.2</v>
      </c>
      <c r="B190" s="29" t="n">
        <v>2.626</v>
      </c>
    </row>
    <row r="191" customFormat="false" ht="15" hidden="false" customHeight="false" outlineLevel="0" collapsed="false">
      <c r="A191" s="29" t="n">
        <v>5.3</v>
      </c>
      <c r="B191" s="29" t="n">
        <v>2.66</v>
      </c>
    </row>
    <row r="192" customFormat="false" ht="15" hidden="false" customHeight="false" outlineLevel="0" collapsed="false">
      <c r="A192" s="29" t="n">
        <v>5.4</v>
      </c>
      <c r="B192" s="29" t="n">
        <v>2.693</v>
      </c>
    </row>
    <row r="193" customFormat="false" ht="15" hidden="false" customHeight="false" outlineLevel="0" collapsed="false">
      <c r="A193" s="29" t="n">
        <v>5.5</v>
      </c>
      <c r="B193" s="29" t="n">
        <v>2.726</v>
      </c>
    </row>
    <row r="194" customFormat="false" ht="15" hidden="false" customHeight="false" outlineLevel="0" collapsed="false">
      <c r="A194" s="29" t="n">
        <v>5.6</v>
      </c>
      <c r="B194" s="29" t="n">
        <v>2.76</v>
      </c>
    </row>
    <row r="195" customFormat="false" ht="15" hidden="false" customHeight="false" outlineLevel="0" collapsed="false">
      <c r="A195" s="29" t="n">
        <v>5.7</v>
      </c>
      <c r="B195" s="29" t="n">
        <v>2.793</v>
      </c>
    </row>
    <row r="196" customFormat="false" ht="15" hidden="false" customHeight="false" outlineLevel="0" collapsed="false">
      <c r="A196" s="29" t="n">
        <v>5.8</v>
      </c>
      <c r="B196" s="29" t="n">
        <v>2.826</v>
      </c>
    </row>
    <row r="197" customFormat="false" ht="15" hidden="false" customHeight="false" outlineLevel="0" collapsed="false">
      <c r="A197" s="29" t="n">
        <v>5.9</v>
      </c>
      <c r="B197" s="29" t="n">
        <v>2.858</v>
      </c>
    </row>
    <row r="198" customFormat="false" ht="15" hidden="false" customHeight="false" outlineLevel="0" collapsed="false">
      <c r="A198" s="29" t="n">
        <v>6</v>
      </c>
      <c r="B198" s="29" t="n">
        <v>2.891</v>
      </c>
    </row>
    <row r="199" customFormat="false" ht="15" hidden="false" customHeight="false" outlineLevel="0" collapsed="false">
      <c r="A199" s="29" t="n">
        <v>6.1</v>
      </c>
      <c r="B199" s="29" t="n">
        <v>2.924</v>
      </c>
    </row>
    <row r="200" customFormat="false" ht="15" hidden="false" customHeight="false" outlineLevel="0" collapsed="false">
      <c r="A200" s="29" t="n">
        <v>6.2</v>
      </c>
      <c r="B200" s="29" t="n">
        <v>2.956</v>
      </c>
    </row>
    <row r="201" customFormat="false" ht="15" hidden="false" customHeight="false" outlineLevel="0" collapsed="false">
      <c r="A201" s="29" t="n">
        <v>6.3</v>
      </c>
      <c r="B201" s="29" t="n">
        <v>2.989</v>
      </c>
    </row>
    <row r="202" customFormat="false" ht="15" hidden="false" customHeight="false" outlineLevel="0" collapsed="false">
      <c r="A202" s="29" t="n">
        <v>6.4</v>
      </c>
      <c r="B202" s="29" t="n">
        <v>3.021</v>
      </c>
    </row>
    <row r="203" customFormat="false" ht="15" hidden="false" customHeight="false" outlineLevel="0" collapsed="false">
      <c r="A203" s="29" t="n">
        <v>6.5</v>
      </c>
      <c r="B203" s="29" t="n">
        <v>3.053</v>
      </c>
    </row>
    <row r="204" customFormat="false" ht="15" hidden="false" customHeight="false" outlineLevel="0" collapsed="false">
      <c r="A204" s="29" t="n">
        <v>6.6</v>
      </c>
      <c r="B204" s="29" t="n">
        <v>3.085</v>
      </c>
    </row>
    <row r="205" customFormat="false" ht="15" hidden="false" customHeight="false" outlineLevel="0" collapsed="false">
      <c r="A205" s="29" t="n">
        <v>6.7</v>
      </c>
      <c r="B205" s="29" t="n">
        <v>3.117</v>
      </c>
    </row>
    <row r="206" customFormat="false" ht="15" hidden="false" customHeight="false" outlineLevel="0" collapsed="false">
      <c r="A206" s="29" t="n">
        <v>6.8</v>
      </c>
      <c r="B206" s="29" t="n">
        <v>3.149</v>
      </c>
    </row>
    <row r="207" customFormat="false" ht="15" hidden="false" customHeight="false" outlineLevel="0" collapsed="false">
      <c r="A207" s="29" t="n">
        <v>6.9</v>
      </c>
      <c r="B207" s="29" t="n">
        <v>3.181</v>
      </c>
    </row>
    <row r="208" customFormat="false" ht="15" hidden="false" customHeight="false" outlineLevel="0" collapsed="false">
      <c r="A208" s="29" t="n">
        <v>7</v>
      </c>
      <c r="B208" s="29" t="n">
        <v>3.212</v>
      </c>
    </row>
    <row r="209" customFormat="false" ht="15" hidden="false" customHeight="false" outlineLevel="0" collapsed="false">
      <c r="A209" s="29" t="n">
        <v>7.1</v>
      </c>
      <c r="B209" s="29" t="n">
        <v>3.244</v>
      </c>
    </row>
    <row r="210" customFormat="false" ht="15" hidden="false" customHeight="false" outlineLevel="0" collapsed="false">
      <c r="A210" s="29" t="n">
        <v>7.2</v>
      </c>
      <c r="B210" s="29" t="n">
        <v>3.275</v>
      </c>
    </row>
    <row r="211" customFormat="false" ht="15" hidden="false" customHeight="false" outlineLevel="0" collapsed="false">
      <c r="A211" s="29" t="n">
        <v>7.3</v>
      </c>
      <c r="B211" s="29" t="n">
        <v>3.307</v>
      </c>
    </row>
    <row r="212" customFormat="false" ht="15" hidden="false" customHeight="false" outlineLevel="0" collapsed="false">
      <c r="A212" s="29" t="n">
        <v>7.4</v>
      </c>
      <c r="B212" s="29" t="n">
        <v>3.338</v>
      </c>
    </row>
    <row r="213" customFormat="false" ht="15" hidden="false" customHeight="false" outlineLevel="0" collapsed="false">
      <c r="A213" s="29" t="n">
        <v>7.5</v>
      </c>
      <c r="B213" s="29" t="n">
        <v>3.369</v>
      </c>
    </row>
    <row r="214" customFormat="false" ht="15" hidden="false" customHeight="false" outlineLevel="0" collapsed="false">
      <c r="A214" s="29" t="n">
        <v>7.6</v>
      </c>
      <c r="B214" s="29" t="n">
        <v>3.4</v>
      </c>
    </row>
    <row r="215" customFormat="false" ht="15" hidden="false" customHeight="false" outlineLevel="0" collapsed="false">
      <c r="A215" s="29" t="n">
        <v>7.7</v>
      </c>
      <c r="B215" s="29" t="n">
        <v>3.431</v>
      </c>
    </row>
    <row r="216" customFormat="false" ht="15" hidden="false" customHeight="false" outlineLevel="0" collapsed="false">
      <c r="A216" s="29" t="n">
        <v>7.8</v>
      </c>
      <c r="B216" s="29" t="n">
        <v>3.462</v>
      </c>
    </row>
    <row r="217" customFormat="false" ht="15" hidden="false" customHeight="false" outlineLevel="0" collapsed="false">
      <c r="A217" s="29" t="n">
        <v>7.9</v>
      </c>
      <c r="B217" s="29" t="n">
        <v>3.493</v>
      </c>
    </row>
    <row r="218" customFormat="false" ht="15" hidden="false" customHeight="false" outlineLevel="0" collapsed="false">
      <c r="A218" s="29" t="n">
        <v>8</v>
      </c>
      <c r="B218" s="29" t="n">
        <v>3.524</v>
      </c>
    </row>
    <row r="219" customFormat="false" ht="15" hidden="false" customHeight="false" outlineLevel="0" collapsed="false">
      <c r="A219" s="29" t="n">
        <v>8.1</v>
      </c>
      <c r="B219" s="29" t="n">
        <v>3.555</v>
      </c>
    </row>
    <row r="220" customFormat="false" ht="15" hidden="false" customHeight="false" outlineLevel="0" collapsed="false">
      <c r="A220" s="29" t="n">
        <v>8.2</v>
      </c>
      <c r="B220" s="29" t="n">
        <v>3.585</v>
      </c>
    </row>
    <row r="221" customFormat="false" ht="15" hidden="false" customHeight="false" outlineLevel="0" collapsed="false">
      <c r="A221" s="29" t="n">
        <v>8.3</v>
      </c>
      <c r="B221" s="29" t="n">
        <v>3.616</v>
      </c>
    </row>
    <row r="222" customFormat="false" ht="15" hidden="false" customHeight="false" outlineLevel="0" collapsed="false">
      <c r="A222" s="29" t="n">
        <v>8.4</v>
      </c>
      <c r="B222" s="29" t="n">
        <v>3.646</v>
      </c>
    </row>
    <row r="223" customFormat="false" ht="15" hidden="false" customHeight="false" outlineLevel="0" collapsed="false">
      <c r="A223" s="29" t="n">
        <v>8.5</v>
      </c>
      <c r="B223" s="29" t="n">
        <v>3.677</v>
      </c>
    </row>
    <row r="224" customFormat="false" ht="15" hidden="false" customHeight="false" outlineLevel="0" collapsed="false">
      <c r="A224" s="29" t="n">
        <v>8.6</v>
      </c>
      <c r="B224" s="29" t="n">
        <v>3.707</v>
      </c>
    </row>
    <row r="225" customFormat="false" ht="15" hidden="false" customHeight="false" outlineLevel="0" collapsed="false">
      <c r="A225" s="29" t="n">
        <v>8.7</v>
      </c>
      <c r="B225" s="29" t="n">
        <v>3.738</v>
      </c>
    </row>
    <row r="226" customFormat="false" ht="15" hidden="false" customHeight="false" outlineLevel="0" collapsed="false">
      <c r="A226" s="29" t="n">
        <v>8.8</v>
      </c>
      <c r="B226" s="29" t="n">
        <v>3.768</v>
      </c>
    </row>
    <row r="227" customFormat="false" ht="15" hidden="false" customHeight="false" outlineLevel="0" collapsed="false">
      <c r="A227" s="29" t="n">
        <v>8.9</v>
      </c>
      <c r="B227" s="29" t="n">
        <v>3.798</v>
      </c>
    </row>
    <row r="228" customFormat="false" ht="15" hidden="false" customHeight="false" outlineLevel="0" collapsed="false">
      <c r="A228" s="29" t="n">
        <v>9</v>
      </c>
      <c r="B228" s="29" t="n">
        <v>3.828</v>
      </c>
    </row>
    <row r="229" customFormat="false" ht="15" hidden="false" customHeight="false" outlineLevel="0" collapsed="false">
      <c r="A229" s="29" t="n">
        <v>9.1</v>
      </c>
      <c r="B229" s="29" t="n">
        <v>3.858</v>
      </c>
    </row>
    <row r="230" customFormat="false" ht="15" hidden="false" customHeight="false" outlineLevel="0" collapsed="false">
      <c r="A230" s="29" t="n">
        <v>9.2</v>
      </c>
      <c r="B230" s="29" t="n">
        <v>3.888</v>
      </c>
    </row>
    <row r="231" customFormat="false" ht="15" hidden="false" customHeight="false" outlineLevel="0" collapsed="false">
      <c r="A231" s="29" t="n">
        <v>9.3</v>
      </c>
      <c r="B231" s="29" t="n">
        <v>3.918</v>
      </c>
    </row>
    <row r="232" customFormat="false" ht="15" hidden="false" customHeight="false" outlineLevel="0" collapsed="false">
      <c r="A232" s="29" t="n">
        <v>9.4</v>
      </c>
      <c r="B232" s="29" t="n">
        <v>3.948</v>
      </c>
    </row>
    <row r="233" customFormat="false" ht="15" hidden="false" customHeight="false" outlineLevel="0" collapsed="false">
      <c r="A233" s="29" t="n">
        <v>9.5</v>
      </c>
      <c r="B233" s="29" t="n">
        <v>3.978</v>
      </c>
    </row>
    <row r="234" customFormat="false" ht="15" hidden="false" customHeight="false" outlineLevel="0" collapsed="false">
      <c r="A234" s="29" t="n">
        <v>9.6</v>
      </c>
      <c r="B234" s="29" t="n">
        <v>4.008</v>
      </c>
    </row>
    <row r="235" customFormat="false" ht="15" hidden="false" customHeight="false" outlineLevel="0" collapsed="false">
      <c r="A235" s="29" t="n">
        <v>9.7</v>
      </c>
      <c r="B235" s="29" t="n">
        <v>4.037</v>
      </c>
    </row>
    <row r="236" customFormat="false" ht="15" hidden="false" customHeight="false" outlineLevel="0" collapsed="false">
      <c r="A236" s="29" t="n">
        <v>9.8</v>
      </c>
      <c r="B236" s="29" t="n">
        <v>4.067</v>
      </c>
    </row>
    <row r="237" customFormat="false" ht="15" hidden="false" customHeight="false" outlineLevel="0" collapsed="false">
      <c r="A237" s="29" t="n">
        <v>9.9</v>
      </c>
      <c r="B237" s="29" t="n">
        <v>4.097</v>
      </c>
    </row>
    <row r="238" customFormat="false" ht="15" hidden="false" customHeight="false" outlineLevel="0" collapsed="false">
      <c r="A238" s="29" t="n">
        <v>10</v>
      </c>
      <c r="B238" s="29" t="n">
        <v>4.126</v>
      </c>
    </row>
    <row r="239" customFormat="false" ht="15" hidden="false" customHeight="false" outlineLevel="0" collapsed="false">
      <c r="A239" s="29" t="n">
        <v>10.2</v>
      </c>
      <c r="B239" s="29" t="n">
        <v>4.185</v>
      </c>
    </row>
    <row r="240" customFormat="false" ht="15" hidden="false" customHeight="false" outlineLevel="0" collapsed="false">
      <c r="A240" s="29" t="n">
        <v>10.4</v>
      </c>
      <c r="B240" s="29" t="n">
        <v>4.244</v>
      </c>
    </row>
    <row r="241" customFormat="false" ht="15" hidden="false" customHeight="false" outlineLevel="0" collapsed="false">
      <c r="A241" s="29" t="n">
        <v>10.6</v>
      </c>
      <c r="B241" s="29" t="n">
        <v>4.302</v>
      </c>
    </row>
    <row r="242" customFormat="false" ht="15" hidden="false" customHeight="false" outlineLevel="0" collapsed="false">
      <c r="A242" s="29" t="n">
        <v>10.8</v>
      </c>
      <c r="B242" s="29" t="n">
        <v>4.361</v>
      </c>
    </row>
    <row r="243" customFormat="false" ht="15" hidden="false" customHeight="false" outlineLevel="0" collapsed="false">
      <c r="A243" s="29" t="n">
        <v>11</v>
      </c>
      <c r="B243" s="29" t="n">
        <v>4.419</v>
      </c>
    </row>
    <row r="244" customFormat="false" ht="15" hidden="false" customHeight="false" outlineLevel="0" collapsed="false">
      <c r="A244" s="29" t="n">
        <v>11.2</v>
      </c>
      <c r="B244" s="29" t="n">
        <v>4.477</v>
      </c>
    </row>
    <row r="245" customFormat="false" ht="15" hidden="false" customHeight="false" outlineLevel="0" collapsed="false">
      <c r="A245" s="29" t="n">
        <v>11.4</v>
      </c>
      <c r="B245" s="29" t="n">
        <v>4.534</v>
      </c>
    </row>
    <row r="246" customFormat="false" ht="15" hidden="false" customHeight="false" outlineLevel="0" collapsed="false">
      <c r="A246" s="29" t="n">
        <v>11.6</v>
      </c>
      <c r="B246" s="29" t="n">
        <v>4.592</v>
      </c>
    </row>
    <row r="247" customFormat="false" ht="15" hidden="false" customHeight="false" outlineLevel="0" collapsed="false">
      <c r="A247" s="29" t="n">
        <v>11.8</v>
      </c>
      <c r="B247" s="29" t="n">
        <v>4.649</v>
      </c>
    </row>
    <row r="248" customFormat="false" ht="15" hidden="false" customHeight="false" outlineLevel="0" collapsed="false">
      <c r="A248" s="29" t="n">
        <v>12</v>
      </c>
      <c r="B248" s="29" t="n">
        <v>4.707</v>
      </c>
    </row>
    <row r="249" customFormat="false" ht="15" hidden="false" customHeight="false" outlineLevel="0" collapsed="false">
      <c r="A249" s="29" t="n">
        <v>12.2</v>
      </c>
      <c r="B249" s="29" t="n">
        <v>4.764</v>
      </c>
    </row>
    <row r="250" customFormat="false" ht="15" hidden="false" customHeight="false" outlineLevel="0" collapsed="false">
      <c r="A250" s="29" t="n">
        <v>12.4</v>
      </c>
      <c r="B250" s="29" t="n">
        <v>4.82</v>
      </c>
    </row>
    <row r="251" customFormat="false" ht="15" hidden="false" customHeight="false" outlineLevel="0" collapsed="false">
      <c r="A251" s="29" t="n">
        <v>12.6</v>
      </c>
      <c r="B251" s="29" t="n">
        <v>4.877</v>
      </c>
    </row>
    <row r="252" customFormat="false" ht="15" hidden="false" customHeight="false" outlineLevel="0" collapsed="false">
      <c r="A252" s="29" t="n">
        <v>12.8</v>
      </c>
      <c r="B252" s="29" t="n">
        <v>4.934</v>
      </c>
    </row>
    <row r="253" customFormat="false" ht="15" hidden="false" customHeight="false" outlineLevel="0" collapsed="false">
      <c r="A253" s="29" t="n">
        <v>13</v>
      </c>
      <c r="B253" s="29" t="n">
        <v>4.99</v>
      </c>
    </row>
    <row r="254" customFormat="false" ht="15" hidden="false" customHeight="false" outlineLevel="0" collapsed="false">
      <c r="A254" s="29" t="n">
        <v>13.2</v>
      </c>
      <c r="B254" s="29" t="n">
        <v>5.047</v>
      </c>
    </row>
    <row r="255" customFormat="false" ht="15" hidden="false" customHeight="false" outlineLevel="0" collapsed="false">
      <c r="A255" s="29" t="n">
        <v>13.4</v>
      </c>
      <c r="B255" s="29" t="n">
        <v>5.103</v>
      </c>
    </row>
    <row r="256" customFormat="false" ht="15" hidden="false" customHeight="false" outlineLevel="0" collapsed="false">
      <c r="A256" s="29" t="n">
        <v>13.6</v>
      </c>
      <c r="B256" s="29" t="n">
        <v>5.159</v>
      </c>
    </row>
    <row r="257" customFormat="false" ht="15" hidden="false" customHeight="false" outlineLevel="0" collapsed="false">
      <c r="A257" s="29" t="n">
        <v>13.8</v>
      </c>
      <c r="B257" s="29" t="n">
        <v>5.215</v>
      </c>
    </row>
    <row r="258" customFormat="false" ht="15" hidden="false" customHeight="false" outlineLevel="0" collapsed="false">
      <c r="A258" s="29" t="n">
        <v>14</v>
      </c>
      <c r="B258" s="29" t="n">
        <v>5.27</v>
      </c>
    </row>
    <row r="259" customFormat="false" ht="15" hidden="false" customHeight="false" outlineLevel="0" collapsed="false">
      <c r="A259" s="29" t="n">
        <v>14.2</v>
      </c>
      <c r="B259" s="29" t="n">
        <v>5.326</v>
      </c>
    </row>
    <row r="260" customFormat="false" ht="15" hidden="false" customHeight="false" outlineLevel="0" collapsed="false">
      <c r="A260" s="29" t="n">
        <v>14.4</v>
      </c>
      <c r="B260" s="29" t="n">
        <v>5.382</v>
      </c>
    </row>
    <row r="261" customFormat="false" ht="15" hidden="false" customHeight="false" outlineLevel="0" collapsed="false">
      <c r="A261" s="29" t="n">
        <v>14.6</v>
      </c>
      <c r="B261" s="29" t="n">
        <v>5.437</v>
      </c>
    </row>
    <row r="262" customFormat="false" ht="15" hidden="false" customHeight="false" outlineLevel="0" collapsed="false">
      <c r="A262" s="29" t="n">
        <v>14.8</v>
      </c>
      <c r="B262" s="29" t="n">
        <v>5.492</v>
      </c>
    </row>
    <row r="263" customFormat="false" ht="15" hidden="false" customHeight="false" outlineLevel="0" collapsed="false">
      <c r="A263" s="29" t="n">
        <v>15</v>
      </c>
      <c r="B263" s="29" t="n">
        <v>5.547</v>
      </c>
    </row>
    <row r="264" customFormat="false" ht="15" hidden="false" customHeight="false" outlineLevel="0" collapsed="false">
      <c r="A264" s="29" t="n">
        <v>15.2</v>
      </c>
      <c r="B264" s="29" t="n">
        <v>5.602</v>
      </c>
    </row>
    <row r="265" customFormat="false" ht="15" hidden="false" customHeight="false" outlineLevel="0" collapsed="false">
      <c r="A265" s="29" t="n">
        <v>15.4</v>
      </c>
      <c r="B265" s="29" t="n">
        <v>5.657</v>
      </c>
    </row>
    <row r="266" customFormat="false" ht="15" hidden="false" customHeight="false" outlineLevel="0" collapsed="false">
      <c r="A266" s="29" t="n">
        <v>15.6</v>
      </c>
      <c r="B266" s="29" t="n">
        <v>5.712</v>
      </c>
    </row>
    <row r="267" customFormat="false" ht="15" hidden="false" customHeight="false" outlineLevel="0" collapsed="false">
      <c r="A267" s="29" t="n">
        <v>15.8</v>
      </c>
      <c r="B267" s="29" t="n">
        <v>5.767</v>
      </c>
    </row>
    <row r="268" customFormat="false" ht="15" hidden="false" customHeight="false" outlineLevel="0" collapsed="false">
      <c r="A268" s="29" t="n">
        <v>16</v>
      </c>
      <c r="B268" s="29" t="n">
        <v>5.821</v>
      </c>
    </row>
    <row r="269" customFormat="false" ht="15" hidden="false" customHeight="false" outlineLevel="0" collapsed="false">
      <c r="A269" s="29" t="n">
        <v>16.2</v>
      </c>
      <c r="B269" s="29" t="n">
        <v>5.876</v>
      </c>
    </row>
    <row r="270" customFormat="false" ht="15" hidden="false" customHeight="false" outlineLevel="0" collapsed="false">
      <c r="A270" s="29" t="n">
        <v>16.4</v>
      </c>
      <c r="B270" s="29" t="n">
        <v>5.93</v>
      </c>
    </row>
    <row r="271" customFormat="false" ht="15" hidden="false" customHeight="false" outlineLevel="0" collapsed="false">
      <c r="A271" s="29" t="n">
        <v>16.6</v>
      </c>
      <c r="B271" s="29" t="n">
        <v>5.984</v>
      </c>
    </row>
    <row r="272" customFormat="false" ht="15" hidden="false" customHeight="false" outlineLevel="0" collapsed="false">
      <c r="A272" s="29" t="n">
        <v>16.8</v>
      </c>
      <c r="B272" s="29" t="n">
        <v>6.039</v>
      </c>
    </row>
    <row r="273" customFormat="false" ht="15" hidden="false" customHeight="false" outlineLevel="0" collapsed="false">
      <c r="A273" s="29" t="n">
        <v>17</v>
      </c>
      <c r="B273" s="29" t="n">
        <v>6.093</v>
      </c>
    </row>
    <row r="274" customFormat="false" ht="15" hidden="false" customHeight="false" outlineLevel="0" collapsed="false">
      <c r="A274" s="29" t="n">
        <v>17.2</v>
      </c>
      <c r="B274" s="29" t="n">
        <v>6.147</v>
      </c>
    </row>
    <row r="275" customFormat="false" ht="15" hidden="false" customHeight="false" outlineLevel="0" collapsed="false">
      <c r="A275" s="29" t="n">
        <v>17.4</v>
      </c>
      <c r="B275" s="29" t="n">
        <v>6.201</v>
      </c>
    </row>
    <row r="276" customFormat="false" ht="15" hidden="false" customHeight="false" outlineLevel="0" collapsed="false">
      <c r="A276" s="29" t="n">
        <v>17.6</v>
      </c>
      <c r="B276" s="29" t="n">
        <v>6.254</v>
      </c>
    </row>
    <row r="277" customFormat="false" ht="15" hidden="false" customHeight="false" outlineLevel="0" collapsed="false">
      <c r="A277" s="29" t="n">
        <v>17.8</v>
      </c>
      <c r="B277" s="29" t="n">
        <v>6.308</v>
      </c>
    </row>
    <row r="278" customFormat="false" ht="15" hidden="false" customHeight="false" outlineLevel="0" collapsed="false">
      <c r="A278" s="29" t="n">
        <v>18</v>
      </c>
      <c r="B278" s="29" t="n">
        <v>6.362</v>
      </c>
    </row>
    <row r="279" customFormat="false" ht="15" hidden="false" customHeight="false" outlineLevel="0" collapsed="false">
      <c r="A279" s="29" t="n">
        <v>18.2</v>
      </c>
      <c r="B279" s="29" t="n">
        <v>6.415</v>
      </c>
    </row>
    <row r="280" customFormat="false" ht="15" hidden="false" customHeight="false" outlineLevel="0" collapsed="false">
      <c r="A280" s="29" t="n">
        <v>18.4</v>
      </c>
      <c r="B280" s="29" t="n">
        <v>6.469</v>
      </c>
    </row>
    <row r="281" customFormat="false" ht="15" hidden="false" customHeight="false" outlineLevel="0" collapsed="false">
      <c r="A281" s="29" t="n">
        <v>18.6</v>
      </c>
      <c r="B281" s="29" t="n">
        <v>6.522</v>
      </c>
    </row>
    <row r="282" customFormat="false" ht="15" hidden="false" customHeight="false" outlineLevel="0" collapsed="false">
      <c r="A282" s="29" t="n">
        <v>18.8</v>
      </c>
      <c r="B282" s="29" t="n">
        <v>6.575</v>
      </c>
    </row>
    <row r="283" customFormat="false" ht="15" hidden="false" customHeight="false" outlineLevel="0" collapsed="false">
      <c r="A283" s="29" t="n">
        <v>19</v>
      </c>
      <c r="B283" s="29" t="n">
        <v>6.629</v>
      </c>
    </row>
    <row r="284" customFormat="false" ht="15" hidden="false" customHeight="false" outlineLevel="0" collapsed="false">
      <c r="A284" s="29" t="n">
        <v>19.2</v>
      </c>
      <c r="B284" s="29" t="n">
        <v>6.682</v>
      </c>
    </row>
    <row r="285" customFormat="false" ht="15" hidden="false" customHeight="false" outlineLevel="0" collapsed="false">
      <c r="A285" s="29" t="n">
        <v>19.4</v>
      </c>
      <c r="B285" s="29" t="n">
        <v>6.734</v>
      </c>
    </row>
    <row r="286" customFormat="false" ht="15" hidden="false" customHeight="false" outlineLevel="0" collapsed="false">
      <c r="A286" s="29" t="n">
        <v>19.6</v>
      </c>
      <c r="B286" s="29" t="n">
        <v>6.788</v>
      </c>
    </row>
    <row r="287" customFormat="false" ht="15" hidden="false" customHeight="false" outlineLevel="0" collapsed="false">
      <c r="A287" s="29" t="n">
        <v>19.8</v>
      </c>
      <c r="B287" s="29" t="n">
        <v>6.84</v>
      </c>
    </row>
    <row r="288" customFormat="false" ht="15" hidden="false" customHeight="false" outlineLevel="0" collapsed="false">
      <c r="A288" s="29" t="n">
        <v>20</v>
      </c>
      <c r="B288" s="29" t="n">
        <v>6.893</v>
      </c>
    </row>
    <row r="289" customFormat="false" ht="15" hidden="false" customHeight="false" outlineLevel="0" collapsed="false">
      <c r="A289" s="29" t="n">
        <v>21</v>
      </c>
      <c r="B289" s="29" t="n">
        <v>7.156</v>
      </c>
    </row>
    <row r="290" customFormat="false" ht="15" hidden="false" customHeight="false" outlineLevel="0" collapsed="false">
      <c r="A290" s="29" t="n">
        <v>21.5</v>
      </c>
      <c r="B290" s="29" t="n">
        <v>7.287</v>
      </c>
    </row>
    <row r="291" customFormat="false" ht="15" hidden="false" customHeight="false" outlineLevel="0" collapsed="false">
      <c r="A291" s="29" t="n">
        <v>22</v>
      </c>
      <c r="B291" s="29" t="n">
        <v>7.417</v>
      </c>
    </row>
    <row r="292" customFormat="false" ht="15" hidden="false" customHeight="false" outlineLevel="0" collapsed="false">
      <c r="A292" s="29" t="n">
        <v>22.5</v>
      </c>
      <c r="B292" s="29" t="n">
        <v>7.547</v>
      </c>
    </row>
    <row r="293" customFormat="false" ht="15" hidden="false" customHeight="false" outlineLevel="0" collapsed="false">
      <c r="A293" s="29" t="n">
        <v>23</v>
      </c>
      <c r="B293" s="29" t="n">
        <v>7.677</v>
      </c>
    </row>
    <row r="294" customFormat="false" ht="15" hidden="false" customHeight="false" outlineLevel="0" collapsed="false">
      <c r="A294" s="29" t="n">
        <v>23.5</v>
      </c>
      <c r="B294" s="29" t="n">
        <v>7.806</v>
      </c>
    </row>
    <row r="295" customFormat="false" ht="15" hidden="false" customHeight="false" outlineLevel="0" collapsed="false">
      <c r="A295" s="29" t="n">
        <v>24</v>
      </c>
      <c r="B295" s="29" t="n">
        <v>7.935</v>
      </c>
    </row>
    <row r="296" customFormat="false" ht="15" hidden="false" customHeight="false" outlineLevel="0" collapsed="false">
      <c r="A296" s="29" t="n">
        <v>24.5</v>
      </c>
      <c r="B296" s="29" t="n">
        <v>8.064</v>
      </c>
    </row>
    <row r="297" customFormat="false" ht="15" hidden="false" customHeight="false" outlineLevel="0" collapsed="false">
      <c r="A297" s="29" t="n">
        <v>25</v>
      </c>
      <c r="B297" s="29" t="n">
        <v>8.192</v>
      </c>
    </row>
    <row r="298" customFormat="false" ht="15" hidden="false" customHeight="false" outlineLevel="0" collapsed="false">
      <c r="A298" s="29" t="n">
        <v>25.5</v>
      </c>
      <c r="B298" s="29" t="n">
        <v>8.32</v>
      </c>
    </row>
    <row r="299" customFormat="false" ht="15" hidden="false" customHeight="false" outlineLevel="0" collapsed="false">
      <c r="A299" s="29" t="n">
        <v>26</v>
      </c>
      <c r="B299" s="29" t="n">
        <v>8.447</v>
      </c>
    </row>
    <row r="300" customFormat="false" ht="15" hidden="false" customHeight="false" outlineLevel="0" collapsed="false">
      <c r="A300" s="29" t="n">
        <v>26.5</v>
      </c>
      <c r="B300" s="29" t="n">
        <v>8.575</v>
      </c>
    </row>
    <row r="301" customFormat="false" ht="15" hidden="false" customHeight="false" outlineLevel="0" collapsed="false">
      <c r="A301" s="29" t="n">
        <v>27</v>
      </c>
      <c r="B301" s="29" t="n">
        <v>8.701</v>
      </c>
    </row>
    <row r="302" customFormat="false" ht="15" hidden="false" customHeight="false" outlineLevel="0" collapsed="false">
      <c r="A302" s="29" t="n">
        <v>27.5</v>
      </c>
      <c r="B302" s="29" t="n">
        <v>8.828</v>
      </c>
    </row>
    <row r="303" customFormat="false" ht="15" hidden="false" customHeight="false" outlineLevel="0" collapsed="false">
      <c r="A303" s="29" t="n">
        <v>28</v>
      </c>
      <c r="B303" s="29" t="n">
        <v>8.955</v>
      </c>
    </row>
    <row r="304" customFormat="false" ht="15" hidden="false" customHeight="false" outlineLevel="0" collapsed="false">
      <c r="A304" s="29" t="n">
        <v>28.5</v>
      </c>
      <c r="B304" s="29" t="n">
        <v>9.081</v>
      </c>
    </row>
    <row r="305" customFormat="false" ht="15" hidden="false" customHeight="false" outlineLevel="0" collapsed="false">
      <c r="A305" s="29" t="n">
        <v>29</v>
      </c>
      <c r="B305" s="29" t="n">
        <v>9.207</v>
      </c>
    </row>
    <row r="306" customFormat="false" ht="15" hidden="false" customHeight="false" outlineLevel="0" collapsed="false">
      <c r="A306" s="29" t="n">
        <v>29.5</v>
      </c>
      <c r="B306" s="29" t="n">
        <v>9.332</v>
      </c>
    </row>
    <row r="307" customFormat="false" ht="15" hidden="false" customHeight="false" outlineLevel="0" collapsed="false">
      <c r="A307" s="29" t="n">
        <v>30</v>
      </c>
      <c r="B307" s="29" t="n">
        <v>9.457</v>
      </c>
    </row>
    <row r="308" customFormat="false" ht="15" hidden="false" customHeight="false" outlineLevel="0" collapsed="false">
      <c r="A308" s="29" t="n">
        <v>30.5</v>
      </c>
      <c r="B308" s="29" t="n">
        <v>9.583</v>
      </c>
    </row>
    <row r="309" customFormat="false" ht="15" hidden="false" customHeight="false" outlineLevel="0" collapsed="false">
      <c r="A309" s="29" t="n">
        <v>31</v>
      </c>
      <c r="B309" s="29" t="n">
        <v>9.707</v>
      </c>
    </row>
    <row r="310" customFormat="false" ht="15" hidden="false" customHeight="false" outlineLevel="0" collapsed="false">
      <c r="A310" s="29" t="n">
        <v>31.5</v>
      </c>
      <c r="B310" s="29" t="n">
        <v>9.832</v>
      </c>
    </row>
    <row r="311" customFormat="false" ht="15" hidden="false" customHeight="false" outlineLevel="0" collapsed="false">
      <c r="A311" s="29" t="n">
        <v>32</v>
      </c>
      <c r="B311" s="29" t="n">
        <v>9.957</v>
      </c>
    </row>
    <row r="312" customFormat="false" ht="15" hidden="false" customHeight="false" outlineLevel="0" collapsed="false">
      <c r="A312" s="29" t="n">
        <v>32.5</v>
      </c>
      <c r="B312" s="29" t="n">
        <v>10.08</v>
      </c>
    </row>
    <row r="313" customFormat="false" ht="15" hidden="false" customHeight="false" outlineLevel="0" collapsed="false">
      <c r="A313" s="29" t="n">
        <v>33</v>
      </c>
      <c r="B313" s="29" t="n">
        <v>10.2</v>
      </c>
    </row>
    <row r="314" customFormat="false" ht="15" hidden="false" customHeight="false" outlineLevel="0" collapsed="false">
      <c r="A314" s="29" t="n">
        <v>33.5</v>
      </c>
      <c r="B314" s="29" t="n">
        <v>10.33</v>
      </c>
    </row>
    <row r="315" customFormat="false" ht="15" hidden="false" customHeight="false" outlineLevel="0" collapsed="false">
      <c r="A315" s="29" t="n">
        <v>34</v>
      </c>
      <c r="B315" s="29" t="n">
        <v>10.45</v>
      </c>
    </row>
    <row r="316" customFormat="false" ht="15" hidden="false" customHeight="false" outlineLevel="0" collapsed="false">
      <c r="A316" s="29" t="n">
        <v>34.5</v>
      </c>
      <c r="B316" s="29" t="n">
        <v>10.58</v>
      </c>
    </row>
    <row r="317" customFormat="false" ht="15" hidden="false" customHeight="false" outlineLevel="0" collapsed="false">
      <c r="A317" s="29" t="n">
        <v>35</v>
      </c>
      <c r="B317" s="29" t="n">
        <v>10.7</v>
      </c>
    </row>
    <row r="318" customFormat="false" ht="15" hidden="false" customHeight="false" outlineLevel="0" collapsed="false">
      <c r="A318" s="29" t="n">
        <v>35.5</v>
      </c>
      <c r="B318" s="29" t="n">
        <v>10.82</v>
      </c>
    </row>
    <row r="319" customFormat="false" ht="15" hidden="false" customHeight="false" outlineLevel="0" collapsed="false">
      <c r="A319" s="29" t="n">
        <v>36</v>
      </c>
      <c r="B319" s="29" t="n">
        <v>10.94</v>
      </c>
    </row>
    <row r="320" customFormat="false" ht="15" hidden="false" customHeight="false" outlineLevel="0" collapsed="false">
      <c r="A320" s="29" t="n">
        <v>36.5</v>
      </c>
      <c r="B320" s="29" t="n">
        <v>11.07</v>
      </c>
    </row>
    <row r="321" customFormat="false" ht="15" hidden="false" customHeight="false" outlineLevel="0" collapsed="false">
      <c r="A321" s="29" t="n">
        <v>37.5</v>
      </c>
      <c r="B321" s="29" t="n">
        <v>11.31</v>
      </c>
    </row>
    <row r="322" customFormat="false" ht="15" hidden="false" customHeight="false" outlineLevel="0" collapsed="false">
      <c r="A322" s="29" t="n">
        <v>38</v>
      </c>
      <c r="B322" s="29" t="n">
        <v>11.43</v>
      </c>
    </row>
    <row r="323" customFormat="false" ht="15" hidden="false" customHeight="false" outlineLevel="0" collapsed="false">
      <c r="A323" s="29" t="n">
        <v>38.5</v>
      </c>
      <c r="B323" s="29" t="n">
        <v>11.56</v>
      </c>
    </row>
    <row r="324" customFormat="false" ht="15" hidden="false" customHeight="false" outlineLevel="0" collapsed="false">
      <c r="A324" s="29" t="n">
        <v>39</v>
      </c>
      <c r="B324" s="29" t="n">
        <v>11.68</v>
      </c>
    </row>
    <row r="325" customFormat="false" ht="15" hidden="false" customHeight="false" outlineLevel="0" collapsed="false">
      <c r="A325" s="29" t="n">
        <v>39.5</v>
      </c>
      <c r="B325" s="29" t="n">
        <v>11.8</v>
      </c>
    </row>
    <row r="326" customFormat="false" ht="15" hidden="false" customHeight="false" outlineLevel="0" collapsed="false">
      <c r="A326" s="29" t="n">
        <v>40</v>
      </c>
      <c r="B326" s="29" t="n">
        <v>11.92</v>
      </c>
    </row>
    <row r="327" customFormat="false" ht="15" hidden="false" customHeight="false" outlineLevel="0" collapsed="false">
      <c r="A327" s="29" t="n">
        <v>40.5</v>
      </c>
      <c r="B327" s="29" t="n">
        <v>12.04</v>
      </c>
    </row>
    <row r="328" customFormat="false" ht="15" hidden="false" customHeight="false" outlineLevel="0" collapsed="false">
      <c r="A328" s="29" t="n">
        <v>41</v>
      </c>
      <c r="B328" s="29" t="n">
        <v>12.16</v>
      </c>
    </row>
    <row r="329" customFormat="false" ht="15" hidden="false" customHeight="false" outlineLevel="0" collapsed="false">
      <c r="A329" s="29" t="n">
        <v>41.5</v>
      </c>
      <c r="B329" s="29" t="n">
        <v>12.28</v>
      </c>
    </row>
    <row r="330" customFormat="false" ht="15" hidden="false" customHeight="false" outlineLevel="0" collapsed="false">
      <c r="A330" s="29" t="n">
        <v>42</v>
      </c>
      <c r="B330" s="29" t="n">
        <v>12.41</v>
      </c>
    </row>
    <row r="331" customFormat="false" ht="15" hidden="false" customHeight="false" outlineLevel="0" collapsed="false">
      <c r="A331" s="29" t="n">
        <v>42.5</v>
      </c>
      <c r="B331" s="29" t="n">
        <v>12.53</v>
      </c>
    </row>
    <row r="332" customFormat="false" ht="15" hidden="false" customHeight="false" outlineLevel="0" collapsed="false">
      <c r="A332" s="29" t="n">
        <v>43</v>
      </c>
      <c r="B332" s="29" t="n">
        <v>12.65</v>
      </c>
    </row>
    <row r="333" customFormat="false" ht="15" hidden="false" customHeight="false" outlineLevel="0" collapsed="false">
      <c r="A333" s="29" t="n">
        <v>43.5</v>
      </c>
      <c r="B333" s="29" t="n">
        <v>12.77</v>
      </c>
    </row>
    <row r="334" customFormat="false" ht="15" hidden="false" customHeight="false" outlineLevel="0" collapsed="false">
      <c r="A334" s="29" t="n">
        <v>44</v>
      </c>
      <c r="B334" s="29" t="n">
        <v>12.89</v>
      </c>
    </row>
    <row r="335" customFormat="false" ht="15" hidden="false" customHeight="false" outlineLevel="0" collapsed="false">
      <c r="A335" s="29" t="n">
        <v>44.5</v>
      </c>
      <c r="B335" s="29" t="n">
        <v>13.01</v>
      </c>
    </row>
    <row r="336" customFormat="false" ht="15" hidden="false" customHeight="false" outlineLevel="0" collapsed="false">
      <c r="A336" s="29" t="n">
        <v>45</v>
      </c>
      <c r="B336" s="29" t="n">
        <v>13.13</v>
      </c>
    </row>
    <row r="337" customFormat="false" ht="15" hidden="false" customHeight="false" outlineLevel="0" collapsed="false">
      <c r="A337" s="29" t="n">
        <v>45.5</v>
      </c>
      <c r="B337" s="29" t="n">
        <v>13.25</v>
      </c>
    </row>
    <row r="338" customFormat="false" ht="15" hidden="false" customHeight="false" outlineLevel="0" collapsed="false">
      <c r="A338" s="29" t="n">
        <v>46</v>
      </c>
      <c r="B338" s="29" t="n">
        <v>13.37</v>
      </c>
    </row>
    <row r="339" customFormat="false" ht="15" hidden="false" customHeight="false" outlineLevel="0" collapsed="false">
      <c r="A339" s="29" t="n">
        <v>46.5</v>
      </c>
      <c r="B339" s="29" t="n">
        <v>13.49</v>
      </c>
    </row>
    <row r="340" customFormat="false" ht="15" hidden="false" customHeight="false" outlineLevel="0" collapsed="false">
      <c r="A340" s="29" t="n">
        <v>47</v>
      </c>
      <c r="B340" s="29" t="n">
        <v>13.61</v>
      </c>
    </row>
    <row r="341" customFormat="false" ht="15" hidden="false" customHeight="false" outlineLevel="0" collapsed="false">
      <c r="A341" s="29" t="n">
        <v>47.5</v>
      </c>
      <c r="B341" s="29" t="n">
        <v>13.73</v>
      </c>
    </row>
    <row r="342" customFormat="false" ht="15" hidden="false" customHeight="false" outlineLevel="0" collapsed="false">
      <c r="A342" s="29" t="n">
        <v>48</v>
      </c>
      <c r="B342" s="29" t="n">
        <v>13.85</v>
      </c>
    </row>
    <row r="343" customFormat="false" ht="15" hidden="false" customHeight="false" outlineLevel="0" collapsed="false">
      <c r="A343" s="29" t="n">
        <v>48.5</v>
      </c>
      <c r="B343" s="29" t="n">
        <v>13.97</v>
      </c>
    </row>
    <row r="344" customFormat="false" ht="15" hidden="false" customHeight="false" outlineLevel="0" collapsed="false">
      <c r="A344" s="29" t="n">
        <v>49</v>
      </c>
      <c r="B344" s="29" t="n">
        <v>14.09</v>
      </c>
    </row>
    <row r="345" customFormat="false" ht="15" hidden="false" customHeight="false" outlineLevel="0" collapsed="false">
      <c r="A345" s="29" t="n">
        <v>49.5</v>
      </c>
      <c r="B345" s="29" t="n">
        <v>14.2</v>
      </c>
    </row>
    <row r="346" customFormat="false" ht="15" hidden="false" customHeight="false" outlineLevel="0" collapsed="false">
      <c r="A346" s="29" t="n">
        <v>50</v>
      </c>
      <c r="B346" s="29" t="n">
        <v>14.32</v>
      </c>
    </row>
    <row r="347" customFormat="false" ht="15" hidden="false" customHeight="false" outlineLevel="0" collapsed="false">
      <c r="A347" s="29" t="n">
        <v>51</v>
      </c>
      <c r="B347" s="29" t="n">
        <v>14.56</v>
      </c>
    </row>
    <row r="348" customFormat="false" ht="15" hidden="false" customHeight="false" outlineLevel="0" collapsed="false">
      <c r="A348" s="29" t="n">
        <v>52</v>
      </c>
      <c r="B348" s="29" t="n">
        <v>14.8</v>
      </c>
    </row>
    <row r="349" customFormat="false" ht="15" hidden="false" customHeight="false" outlineLevel="0" collapsed="false">
      <c r="A349" s="29" t="n">
        <v>53</v>
      </c>
      <c r="B349" s="29" t="n">
        <v>15.04</v>
      </c>
    </row>
    <row r="350" customFormat="false" ht="15" hidden="false" customHeight="false" outlineLevel="0" collapsed="false">
      <c r="A350" s="29" t="n">
        <v>54</v>
      </c>
      <c r="B350" s="29" t="n">
        <v>15.27</v>
      </c>
    </row>
    <row r="351" customFormat="false" ht="15" hidden="false" customHeight="false" outlineLevel="0" collapsed="false">
      <c r="A351" s="29" t="n">
        <v>55</v>
      </c>
      <c r="B351" s="29" t="n">
        <v>15.51</v>
      </c>
    </row>
    <row r="352" customFormat="false" ht="15" hidden="false" customHeight="false" outlineLevel="0" collapsed="false">
      <c r="A352" s="29" t="n">
        <v>56</v>
      </c>
      <c r="B352" s="29" t="n">
        <v>15.74</v>
      </c>
    </row>
    <row r="353" customFormat="false" ht="15" hidden="false" customHeight="false" outlineLevel="0" collapsed="false">
      <c r="A353" s="29" t="n">
        <v>57</v>
      </c>
      <c r="B353" s="29" t="n">
        <v>15.98</v>
      </c>
    </row>
    <row r="354" customFormat="false" ht="15" hidden="false" customHeight="false" outlineLevel="0" collapsed="false">
      <c r="A354" s="29" t="n">
        <v>58</v>
      </c>
      <c r="B354" s="29" t="n">
        <v>16.22</v>
      </c>
    </row>
    <row r="355" customFormat="false" ht="15" hidden="false" customHeight="false" outlineLevel="0" collapsed="false">
      <c r="A355" s="29" t="n">
        <v>59</v>
      </c>
      <c r="B355" s="29" t="n">
        <v>16.45</v>
      </c>
    </row>
    <row r="356" customFormat="false" ht="15" hidden="false" customHeight="false" outlineLevel="0" collapsed="false">
      <c r="A356" s="29" t="n">
        <v>60</v>
      </c>
      <c r="B356" s="29" t="n">
        <v>16.69</v>
      </c>
    </row>
    <row r="357" customFormat="false" ht="15" hidden="false" customHeight="false" outlineLevel="0" collapsed="false">
      <c r="A357" s="29" t="n">
        <v>61</v>
      </c>
      <c r="B357" s="29" t="n">
        <v>16.92</v>
      </c>
    </row>
    <row r="358" customFormat="false" ht="15" hidden="false" customHeight="false" outlineLevel="0" collapsed="false">
      <c r="A358" s="29" t="n">
        <v>62</v>
      </c>
      <c r="B358" s="29" t="n">
        <v>17.15</v>
      </c>
    </row>
    <row r="359" customFormat="false" ht="15" hidden="false" customHeight="false" outlineLevel="0" collapsed="false">
      <c r="A359" s="29" t="n">
        <v>63</v>
      </c>
      <c r="B359" s="29" t="n">
        <v>17.39</v>
      </c>
    </row>
    <row r="360" customFormat="false" ht="15" hidden="false" customHeight="false" outlineLevel="0" collapsed="false">
      <c r="A360" s="29" t="n">
        <v>64</v>
      </c>
      <c r="B360" s="29" t="n">
        <v>17.62</v>
      </c>
    </row>
    <row r="361" customFormat="false" ht="15" hidden="false" customHeight="false" outlineLevel="0" collapsed="false">
      <c r="A361" s="29" t="n">
        <v>65</v>
      </c>
      <c r="B361" s="29" t="n">
        <v>17.85</v>
      </c>
    </row>
    <row r="362" customFormat="false" ht="15" hidden="false" customHeight="false" outlineLevel="0" collapsed="false">
      <c r="A362" s="29" t="n">
        <v>66</v>
      </c>
      <c r="B362" s="29" t="n">
        <v>18.09</v>
      </c>
    </row>
    <row r="363" customFormat="false" ht="15" hidden="false" customHeight="false" outlineLevel="0" collapsed="false">
      <c r="A363" s="29" t="n">
        <v>67</v>
      </c>
      <c r="B363" s="29" t="n">
        <v>18.32</v>
      </c>
    </row>
    <row r="364" customFormat="false" ht="15" hidden="false" customHeight="false" outlineLevel="0" collapsed="false">
      <c r="A364" s="29" t="n">
        <v>68</v>
      </c>
      <c r="B364" s="29" t="n">
        <v>18.55</v>
      </c>
    </row>
    <row r="365" customFormat="false" ht="15" hidden="false" customHeight="false" outlineLevel="0" collapsed="false">
      <c r="A365" s="29" t="n">
        <v>69</v>
      </c>
      <c r="B365" s="29" t="n">
        <v>18.79</v>
      </c>
    </row>
    <row r="366" customFormat="false" ht="15" hidden="false" customHeight="false" outlineLevel="0" collapsed="false">
      <c r="A366" s="29" t="n">
        <v>70</v>
      </c>
      <c r="B366" s="29" t="n">
        <v>19.02</v>
      </c>
    </row>
    <row r="367" customFormat="false" ht="15" hidden="false" customHeight="false" outlineLevel="0" collapsed="false">
      <c r="A367" s="29" t="n">
        <v>71</v>
      </c>
      <c r="B367" s="29" t="n">
        <v>19.25</v>
      </c>
    </row>
    <row r="368" customFormat="false" ht="15" hidden="false" customHeight="false" outlineLevel="0" collapsed="false">
      <c r="A368" s="29" t="n">
        <v>72</v>
      </c>
      <c r="B368" s="29" t="n">
        <v>19.48</v>
      </c>
    </row>
    <row r="369" customFormat="false" ht="15" hidden="false" customHeight="false" outlineLevel="0" collapsed="false">
      <c r="A369" s="29" t="n">
        <v>73</v>
      </c>
      <c r="B369" s="29" t="n">
        <v>19.71</v>
      </c>
    </row>
    <row r="370" customFormat="false" ht="15" hidden="false" customHeight="false" outlineLevel="0" collapsed="false">
      <c r="A370" s="29" t="n">
        <v>74</v>
      </c>
      <c r="B370" s="29" t="n">
        <v>19.94</v>
      </c>
    </row>
    <row r="371" customFormat="false" ht="15" hidden="false" customHeight="false" outlineLevel="0" collapsed="false">
      <c r="A371" s="29" t="n">
        <v>75</v>
      </c>
      <c r="B371" s="29" t="n">
        <v>20.18</v>
      </c>
    </row>
    <row r="372" customFormat="false" ht="15" hidden="false" customHeight="false" outlineLevel="0" collapsed="false">
      <c r="A372" s="29" t="n">
        <v>76</v>
      </c>
      <c r="B372" s="29" t="n">
        <v>20.41</v>
      </c>
    </row>
    <row r="373" customFormat="false" ht="15" hidden="false" customHeight="false" outlineLevel="0" collapsed="false">
      <c r="A373" s="29" t="n">
        <v>77</v>
      </c>
      <c r="B373" s="29" t="n">
        <v>20.64</v>
      </c>
    </row>
    <row r="374" customFormat="false" ht="15" hidden="false" customHeight="false" outlineLevel="0" collapsed="false">
      <c r="A374" s="29" t="n">
        <v>78</v>
      </c>
      <c r="B374" s="29" t="n">
        <v>20.87</v>
      </c>
    </row>
    <row r="375" customFormat="false" ht="15" hidden="false" customHeight="false" outlineLevel="0" collapsed="false">
      <c r="A375" s="29" t="n">
        <v>79</v>
      </c>
      <c r="B375" s="29" t="n">
        <v>21.1</v>
      </c>
    </row>
    <row r="376" customFormat="false" ht="15" hidden="false" customHeight="false" outlineLevel="0" collapsed="false">
      <c r="A376" s="29" t="n">
        <v>80</v>
      </c>
      <c r="B376" s="29" t="n">
        <v>21.33</v>
      </c>
    </row>
    <row r="377" customFormat="false" ht="15" hidden="false" customHeight="false" outlineLevel="0" collapsed="false">
      <c r="A377" s="29" t="n">
        <v>81</v>
      </c>
      <c r="B377" s="29" t="n">
        <v>21.56</v>
      </c>
    </row>
    <row r="378" customFormat="false" ht="15" hidden="false" customHeight="false" outlineLevel="0" collapsed="false">
      <c r="A378" s="29" t="n">
        <v>82</v>
      </c>
      <c r="B378" s="29" t="n">
        <v>21.69</v>
      </c>
    </row>
    <row r="379" customFormat="false" ht="15" hidden="false" customHeight="false" outlineLevel="0" collapsed="false">
      <c r="A379" s="29" t="n">
        <v>83</v>
      </c>
      <c r="B379" s="29" t="n">
        <v>22.02</v>
      </c>
    </row>
    <row r="380" customFormat="false" ht="15" hidden="false" customHeight="false" outlineLevel="0" collapsed="false">
      <c r="A380" s="29" t="n">
        <v>85</v>
      </c>
      <c r="B380" s="29" t="n">
        <v>22.48</v>
      </c>
    </row>
    <row r="381" customFormat="false" ht="15" hidden="false" customHeight="false" outlineLevel="0" collapsed="false">
      <c r="A381" s="29" t="n">
        <v>86</v>
      </c>
      <c r="B381" s="29" t="n">
        <v>22.71</v>
      </c>
    </row>
    <row r="382" customFormat="false" ht="15" hidden="false" customHeight="false" outlineLevel="0" collapsed="false">
      <c r="A382" s="29" t="n">
        <v>87</v>
      </c>
      <c r="B382" s="29" t="n">
        <v>22.94</v>
      </c>
    </row>
    <row r="383" customFormat="false" ht="15" hidden="false" customHeight="false" outlineLevel="0" collapsed="false">
      <c r="A383" s="29" t="n">
        <v>88</v>
      </c>
      <c r="B383" s="29" t="n">
        <v>23.17</v>
      </c>
    </row>
    <row r="384" customFormat="false" ht="15" hidden="false" customHeight="false" outlineLevel="0" collapsed="false">
      <c r="A384" s="29" t="n">
        <v>89</v>
      </c>
      <c r="B384" s="29" t="n">
        <v>23.39</v>
      </c>
    </row>
    <row r="385" customFormat="false" ht="15" hidden="false" customHeight="false" outlineLevel="0" collapsed="false">
      <c r="A385" s="29" t="n">
        <v>90</v>
      </c>
      <c r="B385" s="29" t="n">
        <v>23.62</v>
      </c>
    </row>
    <row r="386" customFormat="false" ht="15" hidden="false" customHeight="false" outlineLevel="0" collapsed="false">
      <c r="A386" s="29" t="n">
        <v>91</v>
      </c>
      <c r="B386" s="29" t="n">
        <v>23.85</v>
      </c>
    </row>
    <row r="387" customFormat="false" ht="15" hidden="false" customHeight="false" outlineLevel="0" collapsed="false">
      <c r="A387" s="29" t="n">
        <v>92</v>
      </c>
      <c r="B387" s="29" t="n">
        <v>24.08</v>
      </c>
    </row>
    <row r="388" customFormat="false" ht="15" hidden="false" customHeight="false" outlineLevel="0" collapsed="false">
      <c r="A388" s="29" t="n">
        <v>93</v>
      </c>
      <c r="B388" s="29" t="n">
        <v>24.31</v>
      </c>
    </row>
    <row r="389" customFormat="false" ht="15" hidden="false" customHeight="false" outlineLevel="0" collapsed="false">
      <c r="A389" s="29" t="n">
        <v>94</v>
      </c>
      <c r="B389" s="29" t="n">
        <v>24.54</v>
      </c>
    </row>
    <row r="390" customFormat="false" ht="15" hidden="false" customHeight="false" outlineLevel="0" collapsed="false">
      <c r="A390" s="29" t="n">
        <v>95</v>
      </c>
      <c r="B390" s="29" t="n">
        <v>24.77</v>
      </c>
    </row>
    <row r="391" customFormat="false" ht="15" hidden="false" customHeight="false" outlineLevel="0" collapsed="false">
      <c r="A391" s="29" t="n">
        <v>96</v>
      </c>
      <c r="B391" s="29" t="n">
        <v>24.99</v>
      </c>
    </row>
    <row r="392" customFormat="false" ht="15" hidden="false" customHeight="false" outlineLevel="0" collapsed="false">
      <c r="A392" s="29" t="n">
        <v>97</v>
      </c>
      <c r="B392" s="29" t="n">
        <v>25.22</v>
      </c>
    </row>
    <row r="393" customFormat="false" ht="15" hidden="false" customHeight="false" outlineLevel="0" collapsed="false">
      <c r="A393" s="29" t="n">
        <v>98</v>
      </c>
      <c r="B393" s="29" t="n">
        <v>25.45</v>
      </c>
    </row>
    <row r="394" customFormat="false" ht="15" hidden="false" customHeight="false" outlineLevel="0" collapsed="false">
      <c r="A394" s="29" t="n">
        <v>99</v>
      </c>
      <c r="B394" s="29" t="n">
        <v>25.68</v>
      </c>
    </row>
    <row r="395" customFormat="false" ht="15" hidden="false" customHeight="false" outlineLevel="0" collapsed="false">
      <c r="A395" s="29" t="n">
        <v>100</v>
      </c>
      <c r="B395" s="29" t="n">
        <v>25.91</v>
      </c>
    </row>
    <row r="396" customFormat="false" ht="15" hidden="false" customHeight="false" outlineLevel="0" collapsed="false">
      <c r="A396" s="29" t="n">
        <v>102</v>
      </c>
      <c r="B396" s="29" t="n">
        <v>26.36</v>
      </c>
    </row>
    <row r="397" customFormat="false" ht="15" hidden="false" customHeight="false" outlineLevel="0" collapsed="false">
      <c r="A397" s="29" t="n">
        <v>104</v>
      </c>
      <c r="B397" s="29" t="n">
        <v>26.82</v>
      </c>
    </row>
    <row r="398" customFormat="false" ht="15" hidden="false" customHeight="false" outlineLevel="0" collapsed="false">
      <c r="A398" s="29" t="n">
        <v>106</v>
      </c>
      <c r="B398" s="29" t="n">
        <v>27.27</v>
      </c>
    </row>
    <row r="399" customFormat="false" ht="15" hidden="false" customHeight="false" outlineLevel="0" collapsed="false">
      <c r="A399" s="29" t="n">
        <v>108</v>
      </c>
      <c r="B399" s="29" t="n">
        <v>27.72</v>
      </c>
    </row>
    <row r="400" customFormat="false" ht="15" hidden="false" customHeight="false" outlineLevel="0" collapsed="false">
      <c r="A400" s="29" t="n">
        <v>110</v>
      </c>
      <c r="B400" s="29" t="n">
        <v>28.18</v>
      </c>
    </row>
    <row r="401" customFormat="false" ht="15" hidden="false" customHeight="false" outlineLevel="0" collapsed="false">
      <c r="A401" s="29" t="n">
        <v>112</v>
      </c>
      <c r="B401" s="29" t="n">
        <v>28.63</v>
      </c>
    </row>
    <row r="402" customFormat="false" ht="15" hidden="false" customHeight="false" outlineLevel="0" collapsed="false">
      <c r="A402" s="29" t="n">
        <v>114</v>
      </c>
      <c r="B402" s="29" t="n">
        <v>29.09</v>
      </c>
    </row>
    <row r="403" customFormat="false" ht="15" hidden="false" customHeight="false" outlineLevel="0" collapsed="false">
      <c r="A403" s="29" t="n">
        <v>116</v>
      </c>
      <c r="B403" s="29" t="n">
        <v>29.54</v>
      </c>
    </row>
    <row r="404" customFormat="false" ht="15" hidden="false" customHeight="false" outlineLevel="0" collapsed="false">
      <c r="A404" s="29" t="n">
        <v>118</v>
      </c>
      <c r="B404" s="29" t="n">
        <v>29.89</v>
      </c>
    </row>
    <row r="405" customFormat="false" ht="15" hidden="false" customHeight="false" outlineLevel="0" collapsed="false">
      <c r="A405" s="29" t="n">
        <v>120</v>
      </c>
      <c r="B405" s="29" t="n">
        <v>30.44</v>
      </c>
    </row>
    <row r="406" customFormat="false" ht="15" hidden="false" customHeight="false" outlineLevel="0" collapsed="false">
      <c r="A406" s="29" t="n">
        <v>122</v>
      </c>
      <c r="B406" s="29" t="n">
        <v>30.9</v>
      </c>
    </row>
    <row r="407" customFormat="false" ht="15" hidden="false" customHeight="false" outlineLevel="0" collapsed="false">
      <c r="A407" s="29" t="n">
        <v>124</v>
      </c>
      <c r="B407" s="29" t="n">
        <v>31.35</v>
      </c>
    </row>
    <row r="408" customFormat="false" ht="15" hidden="false" customHeight="false" outlineLevel="0" collapsed="false">
      <c r="A408" s="29" t="n">
        <v>126</v>
      </c>
      <c r="B408" s="29" t="n">
        <v>31.8</v>
      </c>
    </row>
    <row r="409" customFormat="false" ht="15" hidden="false" customHeight="false" outlineLevel="0" collapsed="false">
      <c r="A409" s="29" t="n">
        <v>128</v>
      </c>
      <c r="B409" s="29" t="n">
        <v>32.25</v>
      </c>
    </row>
    <row r="410" customFormat="false" ht="15" hidden="false" customHeight="false" outlineLevel="0" collapsed="false">
      <c r="A410" s="29" t="n">
        <v>130</v>
      </c>
      <c r="B410" s="29" t="n">
        <v>32.7</v>
      </c>
    </row>
    <row r="411" customFormat="false" ht="15" hidden="false" customHeight="false" outlineLevel="0" collapsed="false">
      <c r="A411" s="29" t="n">
        <v>132</v>
      </c>
      <c r="B411" s="29" t="n">
        <v>33.15</v>
      </c>
    </row>
    <row r="412" customFormat="false" ht="15" hidden="false" customHeight="false" outlineLevel="0" collapsed="false">
      <c r="A412" s="29" t="n">
        <v>134</v>
      </c>
      <c r="B412" s="29" t="n">
        <v>33.6</v>
      </c>
    </row>
    <row r="413" customFormat="false" ht="15" hidden="false" customHeight="false" outlineLevel="0" collapsed="false">
      <c r="A413" s="29" t="n">
        <v>136</v>
      </c>
      <c r="B413" s="29" t="n">
        <v>34.06</v>
      </c>
    </row>
    <row r="414" customFormat="false" ht="15" hidden="false" customHeight="false" outlineLevel="0" collapsed="false">
      <c r="A414" s="29" t="n">
        <v>138</v>
      </c>
      <c r="B414" s="29" t="n">
        <v>34.51</v>
      </c>
    </row>
    <row r="415" customFormat="false" ht="15" hidden="false" customHeight="false" outlineLevel="0" collapsed="false">
      <c r="A415" s="29" t="n">
        <v>140</v>
      </c>
      <c r="B415" s="29" t="n">
        <v>34.96</v>
      </c>
    </row>
    <row r="416" customFormat="false" ht="15" hidden="false" customHeight="false" outlineLevel="0" collapsed="false">
      <c r="A416" s="29" t="n">
        <v>142</v>
      </c>
      <c r="B416" s="29" t="n">
        <v>35.41</v>
      </c>
    </row>
    <row r="417" customFormat="false" ht="15" hidden="false" customHeight="false" outlineLevel="0" collapsed="false">
      <c r="A417" s="29" t="n">
        <v>144</v>
      </c>
      <c r="B417" s="29" t="n">
        <v>35.86</v>
      </c>
    </row>
    <row r="418" customFormat="false" ht="15" hidden="false" customHeight="false" outlineLevel="0" collapsed="false">
      <c r="A418" s="29" t="n">
        <v>146</v>
      </c>
      <c r="B418" s="29" t="n">
        <v>36.31</v>
      </c>
    </row>
    <row r="419" customFormat="false" ht="15" hidden="false" customHeight="false" outlineLevel="0" collapsed="false">
      <c r="A419" s="29" t="n">
        <v>148</v>
      </c>
      <c r="B419" s="29" t="n">
        <v>36.76</v>
      </c>
    </row>
    <row r="420" customFormat="false" ht="15" hidden="false" customHeight="false" outlineLevel="0" collapsed="false">
      <c r="A420" s="29" t="n">
        <v>150</v>
      </c>
      <c r="B420" s="29" t="n">
        <v>37.21</v>
      </c>
    </row>
    <row r="421" customFormat="false" ht="15" hidden="false" customHeight="false" outlineLevel="0" collapsed="false">
      <c r="A421" s="29" t="n">
        <v>152</v>
      </c>
      <c r="B421" s="29" t="n">
        <v>37.66</v>
      </c>
    </row>
    <row r="422" customFormat="false" ht="15" hidden="false" customHeight="false" outlineLevel="0" collapsed="false">
      <c r="A422" s="29" t="n">
        <v>154</v>
      </c>
      <c r="B422" s="29" t="n">
        <v>38.11</v>
      </c>
    </row>
    <row r="423" customFormat="false" ht="15" hidden="false" customHeight="false" outlineLevel="0" collapsed="false">
      <c r="A423" s="29" t="n">
        <v>158</v>
      </c>
      <c r="B423" s="29" t="n">
        <v>39.01</v>
      </c>
    </row>
    <row r="424" customFormat="false" ht="15" hidden="false" customHeight="false" outlineLevel="0" collapsed="false">
      <c r="A424" s="29" t="n">
        <v>160</v>
      </c>
      <c r="B424" s="29" t="n">
        <v>39.46</v>
      </c>
    </row>
    <row r="425" customFormat="false" ht="15" hidden="false" customHeight="false" outlineLevel="0" collapsed="false">
      <c r="A425" s="29" t="n">
        <v>162</v>
      </c>
      <c r="B425" s="29" t="n">
        <v>39.91</v>
      </c>
    </row>
    <row r="426" customFormat="false" ht="15" hidden="false" customHeight="false" outlineLevel="0" collapsed="false">
      <c r="A426" s="29" t="n">
        <v>164</v>
      </c>
      <c r="B426" s="29" t="n">
        <v>40.35</v>
      </c>
    </row>
    <row r="427" customFormat="false" ht="15" hidden="false" customHeight="false" outlineLevel="0" collapsed="false">
      <c r="A427" s="29" t="n">
        <v>166</v>
      </c>
      <c r="B427" s="29" t="n">
        <v>40.8</v>
      </c>
    </row>
    <row r="428" customFormat="false" ht="15" hidden="false" customHeight="false" outlineLevel="0" collapsed="false">
      <c r="A428" s="29" t="n">
        <v>168</v>
      </c>
      <c r="B428" s="29" t="n">
        <v>41.25</v>
      </c>
    </row>
    <row r="429" customFormat="false" ht="15" hidden="false" customHeight="false" outlineLevel="0" collapsed="false">
      <c r="A429" s="29" t="n">
        <v>170</v>
      </c>
      <c r="B429" s="29" t="n">
        <v>41.7</v>
      </c>
    </row>
    <row r="430" customFormat="false" ht="15" hidden="false" customHeight="false" outlineLevel="0" collapsed="false">
      <c r="A430" s="29" t="n">
        <v>172</v>
      </c>
      <c r="B430" s="29" t="n">
        <v>42.15</v>
      </c>
    </row>
    <row r="431" customFormat="false" ht="15" hidden="false" customHeight="false" outlineLevel="0" collapsed="false">
      <c r="A431" s="29" t="n">
        <v>174</v>
      </c>
      <c r="B431" s="29" t="n">
        <v>42.6</v>
      </c>
    </row>
    <row r="432" customFormat="false" ht="15" hidden="false" customHeight="false" outlineLevel="0" collapsed="false">
      <c r="A432" s="29" t="n">
        <v>176</v>
      </c>
      <c r="B432" s="29" t="n">
        <v>43.05</v>
      </c>
    </row>
    <row r="433" customFormat="false" ht="15" hidden="false" customHeight="false" outlineLevel="0" collapsed="false">
      <c r="A433" s="29" t="n">
        <v>178</v>
      </c>
      <c r="B433" s="29" t="n">
        <v>43.5</v>
      </c>
    </row>
    <row r="434" customFormat="false" ht="15" hidden="false" customHeight="false" outlineLevel="0" collapsed="false">
      <c r="A434" s="29" t="n">
        <v>180</v>
      </c>
      <c r="B434" s="29" t="n">
        <v>43.95</v>
      </c>
    </row>
    <row r="435" customFormat="false" ht="15" hidden="false" customHeight="false" outlineLevel="0" collapsed="false">
      <c r="A435" s="29" t="n">
        <v>182</v>
      </c>
      <c r="B435" s="29" t="n">
        <v>44.4</v>
      </c>
    </row>
    <row r="436" customFormat="false" ht="15" hidden="false" customHeight="false" outlineLevel="0" collapsed="false">
      <c r="A436" s="29" t="n">
        <v>184</v>
      </c>
      <c r="B436" s="29" t="n">
        <v>44.84</v>
      </c>
    </row>
    <row r="437" customFormat="false" ht="15" hidden="false" customHeight="false" outlineLevel="0" collapsed="false">
      <c r="A437" s="29" t="n">
        <v>186</v>
      </c>
      <c r="B437" s="29" t="n">
        <v>45.29</v>
      </c>
    </row>
    <row r="438" customFormat="false" ht="15" hidden="false" customHeight="false" outlineLevel="0" collapsed="false">
      <c r="A438" s="29" t="n">
        <v>188</v>
      </c>
      <c r="B438" s="29" t="n">
        <v>45.74</v>
      </c>
    </row>
    <row r="439" customFormat="false" ht="15" hidden="false" customHeight="false" outlineLevel="0" collapsed="false">
      <c r="A439" s="29" t="n">
        <v>190</v>
      </c>
      <c r="B439" s="29" t="n">
        <v>46.19</v>
      </c>
    </row>
    <row r="440" customFormat="false" ht="15" hidden="false" customHeight="false" outlineLevel="0" collapsed="false">
      <c r="A440" s="29" t="n">
        <v>192</v>
      </c>
      <c r="B440" s="29" t="n">
        <v>46.64</v>
      </c>
    </row>
    <row r="441" customFormat="false" ht="15" hidden="false" customHeight="false" outlineLevel="0" collapsed="false">
      <c r="A441" s="29" t="n">
        <v>194</v>
      </c>
      <c r="B441" s="29" t="n">
        <v>47.09</v>
      </c>
    </row>
    <row r="442" customFormat="false" ht="15" hidden="false" customHeight="false" outlineLevel="0" collapsed="false">
      <c r="A442" s="29" t="n">
        <v>196</v>
      </c>
      <c r="B442" s="29" t="n">
        <v>47.54</v>
      </c>
    </row>
    <row r="443" customFormat="false" ht="15" hidden="false" customHeight="false" outlineLevel="0" collapsed="false">
      <c r="A443" s="29" t="n">
        <v>198</v>
      </c>
      <c r="B443" s="29" t="n">
        <v>47.99</v>
      </c>
    </row>
    <row r="444" customFormat="false" ht="15" hidden="false" customHeight="false" outlineLevel="0" collapsed="false">
      <c r="A444" s="29" t="n">
        <v>200</v>
      </c>
      <c r="B444" s="29" t="n">
        <v>48.43</v>
      </c>
    </row>
    <row r="445" customFormat="false" ht="15" hidden="false" customHeight="false" outlineLevel="0" collapsed="false">
      <c r="A445" s="29" t="n">
        <v>205</v>
      </c>
      <c r="B445" s="29" t="n">
        <v>49.49</v>
      </c>
    </row>
    <row r="446" customFormat="false" ht="15" hidden="false" customHeight="false" outlineLevel="0" collapsed="false">
      <c r="A446" s="29" t="n">
        <v>210</v>
      </c>
      <c r="B446" s="29" t="n">
        <v>50.59</v>
      </c>
    </row>
    <row r="447" customFormat="false" ht="15" hidden="false" customHeight="false" outlineLevel="0" collapsed="false">
      <c r="A447" s="29" t="n">
        <v>215</v>
      </c>
      <c r="B447" s="29" t="n">
        <v>51.7</v>
      </c>
    </row>
    <row r="448" customFormat="false" ht="15" hidden="false" customHeight="false" outlineLevel="0" collapsed="false">
      <c r="A448" s="29" t="n">
        <v>220</v>
      </c>
      <c r="B448" s="29" t="n">
        <v>52.8</v>
      </c>
    </row>
    <row r="449" customFormat="false" ht="15" hidden="false" customHeight="false" outlineLevel="0" collapsed="false">
      <c r="A449" s="29" t="n">
        <v>225</v>
      </c>
      <c r="B449" s="29" t="n">
        <v>53.9</v>
      </c>
    </row>
    <row r="450" customFormat="false" ht="15" hidden="false" customHeight="false" outlineLevel="0" collapsed="false">
      <c r="A450" s="29" t="n">
        <v>230</v>
      </c>
      <c r="B450" s="29" t="n">
        <v>55</v>
      </c>
    </row>
    <row r="451" customFormat="false" ht="15" hidden="false" customHeight="false" outlineLevel="0" collapsed="false">
      <c r="A451" s="29" t="n">
        <v>235</v>
      </c>
      <c r="B451" s="29" t="n">
        <v>56.1</v>
      </c>
    </row>
    <row r="452" customFormat="false" ht="15" hidden="false" customHeight="false" outlineLevel="0" collapsed="false">
      <c r="A452" s="29" t="n">
        <v>240</v>
      </c>
      <c r="B452" s="29" t="n">
        <v>57.19</v>
      </c>
    </row>
    <row r="453" customFormat="false" ht="15" hidden="false" customHeight="false" outlineLevel="0" collapsed="false">
      <c r="A453" s="29" t="n">
        <v>245</v>
      </c>
      <c r="B453" s="29" t="n">
        <v>58.29</v>
      </c>
    </row>
    <row r="454" customFormat="false" ht="15" hidden="false" customHeight="false" outlineLevel="0" collapsed="false">
      <c r="A454" s="29" t="n">
        <v>250</v>
      </c>
      <c r="B454" s="29" t="n">
        <v>59.38</v>
      </c>
    </row>
    <row r="455" customFormat="false" ht="15" hidden="false" customHeight="false" outlineLevel="0" collapsed="false">
      <c r="A455" s="29" t="n">
        <v>255</v>
      </c>
      <c r="B455" s="29" t="n">
        <v>60.48</v>
      </c>
    </row>
    <row r="456" customFormat="false" ht="15" hidden="false" customHeight="false" outlineLevel="0" collapsed="false">
      <c r="A456" s="29" t="n">
        <v>260</v>
      </c>
      <c r="B456" s="29" t="n">
        <v>61.57</v>
      </c>
    </row>
    <row r="457" customFormat="false" ht="15" hidden="false" customHeight="false" outlineLevel="0" collapsed="false">
      <c r="A457" s="29" t="n">
        <v>265</v>
      </c>
      <c r="B457" s="29" t="n">
        <v>62.66</v>
      </c>
    </row>
    <row r="458" customFormat="false" ht="15" hidden="false" customHeight="false" outlineLevel="0" collapsed="false">
      <c r="A458" s="29" t="n">
        <v>270</v>
      </c>
      <c r="B458" s="29" t="n">
        <v>63.75</v>
      </c>
    </row>
    <row r="459" customFormat="false" ht="15" hidden="false" customHeight="false" outlineLevel="0" collapsed="false">
      <c r="A459" s="29" t="n">
        <v>275</v>
      </c>
      <c r="B459" s="29" t="n">
        <v>64.85</v>
      </c>
    </row>
    <row r="460" customFormat="false" ht="15" hidden="false" customHeight="false" outlineLevel="0" collapsed="false">
      <c r="A460" s="29" t="n">
        <v>280</v>
      </c>
      <c r="B460" s="29" t="n">
        <v>65.94</v>
      </c>
    </row>
    <row r="461" customFormat="false" ht="15" hidden="false" customHeight="false" outlineLevel="0" collapsed="false">
      <c r="A461" s="29" t="n">
        <v>285</v>
      </c>
      <c r="B461" s="29" t="n">
        <v>67.03</v>
      </c>
    </row>
    <row r="462" customFormat="false" ht="15" hidden="false" customHeight="false" outlineLevel="0" collapsed="false">
      <c r="A462" s="29" t="n">
        <v>290</v>
      </c>
      <c r="B462" s="29" t="n">
        <v>68.12</v>
      </c>
    </row>
    <row r="463" customFormat="false" ht="15" hidden="false" customHeight="false" outlineLevel="0" collapsed="false">
      <c r="A463" s="29" t="n">
        <v>295</v>
      </c>
      <c r="B463" s="29" t="n">
        <v>69.2</v>
      </c>
    </row>
    <row r="464" customFormat="false" ht="15" hidden="false" customHeight="false" outlineLevel="0" collapsed="false">
      <c r="A464" s="29" t="n">
        <v>300</v>
      </c>
      <c r="B464" s="29" t="n">
        <v>70.29</v>
      </c>
    </row>
    <row r="465" customFormat="false" ht="15" hidden="false" customHeight="false" outlineLevel="0" collapsed="false">
      <c r="A465" s="29" t="n">
        <v>305</v>
      </c>
      <c r="B465" s="29" t="n">
        <v>71.38</v>
      </c>
    </row>
    <row r="466" customFormat="false" ht="15" hidden="false" customHeight="false" outlineLevel="0" collapsed="false">
      <c r="A466" s="29" t="n">
        <v>315</v>
      </c>
      <c r="B466" s="29" t="n">
        <v>73.55</v>
      </c>
    </row>
    <row r="467" customFormat="false" ht="15" hidden="false" customHeight="false" outlineLevel="0" collapsed="false">
      <c r="A467" s="29" t="n">
        <v>320</v>
      </c>
      <c r="B467" s="29" t="n">
        <v>74.63</v>
      </c>
    </row>
    <row r="468" customFormat="false" ht="15" hidden="false" customHeight="false" outlineLevel="0" collapsed="false">
      <c r="A468" s="29" t="n">
        <v>325</v>
      </c>
      <c r="B468" s="29" t="n">
        <v>75.72</v>
      </c>
    </row>
    <row r="469" customFormat="false" ht="15" hidden="false" customHeight="false" outlineLevel="0" collapsed="false">
      <c r="A469" s="29" t="n">
        <v>330</v>
      </c>
      <c r="B469" s="29" t="n">
        <v>76.8</v>
      </c>
    </row>
    <row r="470" customFormat="false" ht="15" hidden="false" customHeight="false" outlineLevel="0" collapsed="false">
      <c r="A470" s="29" t="n">
        <v>335</v>
      </c>
      <c r="B470" s="29" t="n">
        <v>77.88</v>
      </c>
    </row>
    <row r="471" customFormat="false" ht="15" hidden="false" customHeight="false" outlineLevel="0" collapsed="false">
      <c r="A471" s="29" t="n">
        <v>340</v>
      </c>
      <c r="B471" s="29" t="n">
        <v>78.96</v>
      </c>
    </row>
    <row r="472" customFormat="false" ht="15" hidden="false" customHeight="false" outlineLevel="0" collapsed="false">
      <c r="A472" s="29" t="n">
        <v>345</v>
      </c>
      <c r="B472" s="29" t="n">
        <v>80.04</v>
      </c>
    </row>
    <row r="473" customFormat="false" ht="15" hidden="false" customHeight="false" outlineLevel="0" collapsed="false">
      <c r="A473" s="29" t="n">
        <v>350</v>
      </c>
      <c r="B473" s="29" t="n">
        <v>81.12</v>
      </c>
    </row>
    <row r="474" customFormat="false" ht="15" hidden="false" customHeight="false" outlineLevel="0" collapsed="false">
      <c r="A474" s="29" t="n">
        <v>355</v>
      </c>
      <c r="B474" s="29" t="n">
        <v>82.2</v>
      </c>
    </row>
    <row r="475" customFormat="false" ht="15" hidden="false" customHeight="false" outlineLevel="0" collapsed="false">
      <c r="A475" s="29" t="n">
        <v>360</v>
      </c>
      <c r="B475" s="29" t="n">
        <v>83.28</v>
      </c>
    </row>
    <row r="476" customFormat="false" ht="15" hidden="false" customHeight="false" outlineLevel="0" collapsed="false">
      <c r="A476" s="29" t="n">
        <v>365</v>
      </c>
      <c r="B476" s="29" t="n">
        <v>84.36</v>
      </c>
    </row>
    <row r="477" customFormat="false" ht="15" hidden="false" customHeight="false" outlineLevel="0" collapsed="false">
      <c r="A477" s="29" t="n">
        <v>370</v>
      </c>
      <c r="B477" s="29" t="n">
        <v>85.44</v>
      </c>
    </row>
    <row r="478" customFormat="false" ht="15" hidden="false" customHeight="false" outlineLevel="0" collapsed="false">
      <c r="A478" s="29" t="n">
        <v>375</v>
      </c>
      <c r="B478" s="29" t="n">
        <v>86.52</v>
      </c>
    </row>
    <row r="479" customFormat="false" ht="15" hidden="false" customHeight="false" outlineLevel="0" collapsed="false">
      <c r="A479" s="29" t="n">
        <v>380</v>
      </c>
      <c r="B479" s="29" t="n">
        <v>87.6</v>
      </c>
    </row>
    <row r="480" customFormat="false" ht="15" hidden="false" customHeight="false" outlineLevel="0" collapsed="false">
      <c r="A480" s="29" t="n">
        <v>385</v>
      </c>
      <c r="B480" s="29" t="n">
        <v>88.67</v>
      </c>
    </row>
    <row r="481" customFormat="false" ht="15" hidden="false" customHeight="false" outlineLevel="0" collapsed="false">
      <c r="A481" s="29" t="n">
        <v>390</v>
      </c>
      <c r="B481" s="29" t="n">
        <v>89.75</v>
      </c>
    </row>
    <row r="482" customFormat="false" ht="15" hidden="false" customHeight="false" outlineLevel="0" collapsed="false">
      <c r="A482" s="29" t="n">
        <v>395</v>
      </c>
      <c r="B482" s="29" t="n">
        <v>90.82</v>
      </c>
    </row>
    <row r="483" customFormat="false" ht="15" hidden="false" customHeight="false" outlineLevel="0" collapsed="false">
      <c r="A483" s="29" t="n">
        <v>400</v>
      </c>
      <c r="B483" s="29" t="n">
        <v>91.9</v>
      </c>
    </row>
    <row r="484" customFormat="false" ht="15" hidden="false" customHeight="false" outlineLevel="0" collapsed="false">
      <c r="A484" s="29" t="n">
        <v>405</v>
      </c>
      <c r="B484" s="29" t="n">
        <v>92.97</v>
      </c>
    </row>
    <row r="485" customFormat="false" ht="15" hidden="false" customHeight="false" outlineLevel="0" collapsed="false">
      <c r="A485" s="29" t="n">
        <v>410</v>
      </c>
      <c r="B485" s="29" t="n">
        <v>94.05</v>
      </c>
    </row>
    <row r="486" customFormat="false" ht="15" hidden="false" customHeight="false" outlineLevel="0" collapsed="false">
      <c r="A486" s="29" t="n">
        <v>415</v>
      </c>
      <c r="B486" s="29" t="n">
        <v>95.12</v>
      </c>
    </row>
    <row r="487" customFormat="false" ht="15" hidden="false" customHeight="false" outlineLevel="0" collapsed="false">
      <c r="A487" s="29" t="n">
        <v>420</v>
      </c>
      <c r="B487" s="29" t="n">
        <v>96.2</v>
      </c>
    </row>
    <row r="488" customFormat="false" ht="15" hidden="false" customHeight="false" outlineLevel="0" collapsed="false">
      <c r="A488" s="29" t="n">
        <v>425</v>
      </c>
      <c r="B488" s="29" t="n">
        <v>97.27</v>
      </c>
    </row>
    <row r="489" customFormat="false" ht="15" hidden="false" customHeight="false" outlineLevel="0" collapsed="false">
      <c r="A489" s="29" t="n">
        <v>430</v>
      </c>
      <c r="B489" s="29" t="n">
        <v>98.34</v>
      </c>
    </row>
    <row r="490" customFormat="false" ht="15" hidden="false" customHeight="false" outlineLevel="0" collapsed="false">
      <c r="A490" s="29" t="n">
        <v>435</v>
      </c>
      <c r="B490" s="29" t="n">
        <v>99.41</v>
      </c>
    </row>
    <row r="491" customFormat="false" ht="15" hidden="false" customHeight="false" outlineLevel="0" collapsed="false">
      <c r="A491" s="29" t="n">
        <v>440</v>
      </c>
      <c r="B491" s="29" t="n">
        <v>100.49</v>
      </c>
    </row>
    <row r="492" customFormat="false" ht="15" hidden="false" customHeight="false" outlineLevel="0" collapsed="false">
      <c r="A492" s="29" t="n">
        <v>445</v>
      </c>
      <c r="B492" s="29" t="n">
        <v>101.56</v>
      </c>
    </row>
    <row r="493" customFormat="false" ht="15" hidden="false" customHeight="false" outlineLevel="0" collapsed="false">
      <c r="A493" s="29" t="n">
        <v>450</v>
      </c>
      <c r="B493" s="29" t="n">
        <v>102.63</v>
      </c>
    </row>
    <row r="494" customFormat="false" ht="15" hidden="false" customHeight="false" outlineLevel="0" collapsed="false">
      <c r="A494" s="29" t="n">
        <v>455</v>
      </c>
      <c r="B494" s="29" t="n">
        <v>103.7</v>
      </c>
    </row>
    <row r="495" customFormat="false" ht="15" hidden="false" customHeight="false" outlineLevel="0" collapsed="false">
      <c r="A495" s="29" t="n">
        <v>460</v>
      </c>
      <c r="B495" s="29" t="n">
        <v>104.77</v>
      </c>
    </row>
    <row r="496" customFormat="false" ht="15" hidden="false" customHeight="false" outlineLevel="0" collapsed="false">
      <c r="A496" s="29" t="n">
        <v>465</v>
      </c>
      <c r="B496" s="29" t="n">
        <v>105.84</v>
      </c>
    </row>
    <row r="497" customFormat="false" ht="15" hidden="false" customHeight="false" outlineLevel="0" collapsed="false">
      <c r="A497" s="29" t="n">
        <v>470</v>
      </c>
      <c r="B497" s="29" t="n">
        <v>106.91</v>
      </c>
    </row>
    <row r="498" customFormat="false" ht="15" hidden="false" customHeight="false" outlineLevel="0" collapsed="false">
      <c r="A498" s="29" t="n">
        <v>475</v>
      </c>
      <c r="B498" s="29" t="n">
        <v>107.98</v>
      </c>
    </row>
    <row r="499" customFormat="false" ht="15" hidden="false" customHeight="false" outlineLevel="0" collapsed="false">
      <c r="A499" s="29" t="n">
        <v>480</v>
      </c>
      <c r="B499" s="29" t="n">
        <v>109.05</v>
      </c>
    </row>
    <row r="500" customFormat="false" ht="15" hidden="false" customHeight="false" outlineLevel="0" collapsed="false">
      <c r="A500" s="29" t="n">
        <v>485</v>
      </c>
      <c r="B500" s="29" t="n">
        <v>110.11</v>
      </c>
    </row>
    <row r="501" customFormat="false" ht="15" hidden="false" customHeight="false" outlineLevel="0" collapsed="false">
      <c r="A501" s="29" t="n">
        <v>490</v>
      </c>
      <c r="B501" s="29" t="n">
        <v>111.18</v>
      </c>
    </row>
    <row r="502" customFormat="false" ht="15" hidden="false" customHeight="false" outlineLevel="0" collapsed="false">
      <c r="A502" s="29" t="n">
        <v>495</v>
      </c>
      <c r="B502" s="29" t="n">
        <v>112.25</v>
      </c>
    </row>
    <row r="503" customFormat="false" ht="15" hidden="false" customHeight="false" outlineLevel="0" collapsed="false">
      <c r="A503" s="29" t="n">
        <v>500</v>
      </c>
      <c r="B503" s="29" t="n">
        <v>113.32</v>
      </c>
    </row>
    <row r="504" customFormat="false" ht="15" hidden="false" customHeight="false" outlineLevel="0" collapsed="false">
      <c r="A504" s="29" t="n">
        <v>505</v>
      </c>
      <c r="B504" s="29" t="n">
        <v>114.38</v>
      </c>
    </row>
    <row r="505" customFormat="false" ht="15" hidden="false" customHeight="false" outlineLevel="0" collapsed="false">
      <c r="A505" s="29" t="n">
        <v>510</v>
      </c>
      <c r="B505" s="29" t="n">
        <v>115.45</v>
      </c>
    </row>
    <row r="506" customFormat="false" ht="15" hidden="false" customHeight="false" outlineLevel="0" collapsed="false">
      <c r="A506" s="29" t="n">
        <v>515</v>
      </c>
      <c r="B506" s="29" t="n">
        <v>116.52</v>
      </c>
    </row>
    <row r="507" customFormat="false" ht="15" hidden="false" customHeight="false" outlineLevel="0" collapsed="false">
      <c r="A507" s="29" t="n">
        <v>520</v>
      </c>
      <c r="B507" s="29" t="n">
        <v>117.58</v>
      </c>
    </row>
    <row r="508" customFormat="false" ht="15" hidden="false" customHeight="false" outlineLevel="0" collapsed="false">
      <c r="A508" s="29" t="n">
        <v>525</v>
      </c>
      <c r="B508" s="29" t="n">
        <v>118.65</v>
      </c>
    </row>
    <row r="509" customFormat="false" ht="15" hidden="false" customHeight="false" outlineLevel="0" collapsed="false">
      <c r="A509" s="29" t="n">
        <v>535</v>
      </c>
      <c r="B509" s="29" t="n">
        <v>120.78</v>
      </c>
    </row>
    <row r="510" customFormat="false" ht="15" hidden="false" customHeight="false" outlineLevel="0" collapsed="false">
      <c r="A510" s="29" t="n">
        <v>540</v>
      </c>
      <c r="B510" s="29" t="n">
        <v>121.84</v>
      </c>
    </row>
    <row r="511" customFormat="false" ht="15" hidden="false" customHeight="false" outlineLevel="0" collapsed="false">
      <c r="A511" s="29" t="n">
        <v>545</v>
      </c>
      <c r="B511" s="29" t="n">
        <v>122.91</v>
      </c>
    </row>
    <row r="512" customFormat="false" ht="15" hidden="false" customHeight="false" outlineLevel="0" collapsed="false">
      <c r="A512" s="29" t="n">
        <v>550</v>
      </c>
      <c r="B512" s="29" t="n">
        <v>123.97</v>
      </c>
    </row>
    <row r="513" customFormat="false" ht="15" hidden="false" customHeight="false" outlineLevel="0" collapsed="false">
      <c r="A513" s="29" t="n">
        <v>555</v>
      </c>
      <c r="B513" s="29" t="n">
        <v>125.04</v>
      </c>
    </row>
    <row r="514" customFormat="false" ht="15" hidden="false" customHeight="false" outlineLevel="0" collapsed="false">
      <c r="A514" s="29" t="n">
        <v>560</v>
      </c>
      <c r="B514" s="29" t="n">
        <v>126.1</v>
      </c>
    </row>
    <row r="515" customFormat="false" ht="15" hidden="false" customHeight="false" outlineLevel="0" collapsed="false">
      <c r="A515" s="29" t="n">
        <v>565</v>
      </c>
      <c r="B515" s="29" t="n">
        <v>127.16</v>
      </c>
    </row>
    <row r="516" customFormat="false" ht="15" hidden="false" customHeight="false" outlineLevel="0" collapsed="false">
      <c r="A516" s="29" t="n">
        <v>570</v>
      </c>
      <c r="B516" s="29" t="n">
        <v>128.22</v>
      </c>
    </row>
    <row r="517" customFormat="false" ht="15" hidden="false" customHeight="false" outlineLevel="0" collapsed="false">
      <c r="A517" s="29" t="n">
        <v>575</v>
      </c>
      <c r="B517" s="29" t="n">
        <v>129.29</v>
      </c>
    </row>
    <row r="518" customFormat="false" ht="15" hidden="false" customHeight="false" outlineLevel="0" collapsed="false">
      <c r="A518" s="29" t="n">
        <v>580</v>
      </c>
      <c r="B518" s="29" t="n">
        <v>130.35</v>
      </c>
    </row>
    <row r="519" customFormat="false" ht="15" hidden="false" customHeight="false" outlineLevel="0" collapsed="false">
      <c r="A519" s="29" t="n">
        <v>585</v>
      </c>
      <c r="B519" s="29" t="n">
        <v>131.41</v>
      </c>
    </row>
    <row r="520" customFormat="false" ht="15" hidden="false" customHeight="false" outlineLevel="0" collapsed="false">
      <c r="A520" s="29" t="n">
        <v>590</v>
      </c>
      <c r="B520" s="29" t="n">
        <v>132.47</v>
      </c>
    </row>
    <row r="521" customFormat="false" ht="15" hidden="false" customHeight="false" outlineLevel="0" collapsed="false">
      <c r="A521" s="29" t="n">
        <v>595</v>
      </c>
      <c r="B521" s="29" t="n">
        <v>133.54</v>
      </c>
    </row>
    <row r="522" customFormat="false" ht="15" hidden="false" customHeight="false" outlineLevel="0" collapsed="false">
      <c r="A522" s="29" t="n">
        <v>600</v>
      </c>
      <c r="B522" s="29" t="n">
        <v>134.6</v>
      </c>
    </row>
    <row r="523" customFormat="false" ht="15" hidden="false" customHeight="false" outlineLevel="0" collapsed="false">
      <c r="A523" s="29" t="n">
        <v>605</v>
      </c>
      <c r="B523" s="29" t="n">
        <v>135.66</v>
      </c>
    </row>
    <row r="524" customFormat="false" ht="15" hidden="false" customHeight="false" outlineLevel="0" collapsed="false">
      <c r="A524" s="29" t="n">
        <v>610</v>
      </c>
      <c r="B524" s="29" t="n">
        <v>136.72</v>
      </c>
    </row>
    <row r="525" customFormat="false" ht="15" hidden="false" customHeight="false" outlineLevel="0" collapsed="false">
      <c r="A525" s="29" t="n">
        <v>615</v>
      </c>
      <c r="B525" s="29" t="n">
        <v>137.78</v>
      </c>
    </row>
    <row r="526" customFormat="false" ht="15" hidden="false" customHeight="false" outlineLevel="0" collapsed="false">
      <c r="A526" s="29" t="n">
        <v>620</v>
      </c>
      <c r="B526" s="29" t="n">
        <v>138.84</v>
      </c>
    </row>
    <row r="527" customFormat="false" ht="15" hidden="false" customHeight="false" outlineLevel="0" collapsed="false">
      <c r="A527" s="29" t="n">
        <v>625</v>
      </c>
      <c r="B527" s="29" t="n">
        <v>139.9</v>
      </c>
    </row>
    <row r="528" customFormat="false" ht="15" hidden="false" customHeight="false" outlineLevel="0" collapsed="false">
      <c r="A528" s="29" t="n">
        <v>630</v>
      </c>
      <c r="B528" s="29" t="n">
        <v>140.96</v>
      </c>
    </row>
    <row r="529" customFormat="false" ht="15" hidden="false" customHeight="false" outlineLevel="0" collapsed="false">
      <c r="A529" s="29" t="n">
        <v>635</v>
      </c>
      <c r="B529" s="29" t="n">
        <v>142.02</v>
      </c>
    </row>
    <row r="530" customFormat="false" ht="15" hidden="false" customHeight="false" outlineLevel="0" collapsed="false">
      <c r="A530" s="29" t="n">
        <v>640</v>
      </c>
      <c r="B530" s="29" t="n">
        <v>143.08</v>
      </c>
    </row>
    <row r="531" customFormat="false" ht="15" hidden="false" customHeight="false" outlineLevel="0" collapsed="false">
      <c r="A531" s="29" t="n">
        <v>645</v>
      </c>
      <c r="B531" s="29" t="n">
        <v>144.14</v>
      </c>
    </row>
    <row r="532" customFormat="false" ht="15" hidden="false" customHeight="false" outlineLevel="0" collapsed="false">
      <c r="A532" s="29" t="n">
        <v>650</v>
      </c>
      <c r="B532" s="29" t="n">
        <v>145.2</v>
      </c>
    </row>
    <row r="533" customFormat="false" ht="15" hidden="false" customHeight="false" outlineLevel="0" collapsed="false">
      <c r="A533" s="29" t="n">
        <v>655</v>
      </c>
      <c r="B533" s="29" t="n">
        <v>146.25</v>
      </c>
    </row>
    <row r="534" customFormat="false" ht="15" hidden="false" customHeight="false" outlineLevel="0" collapsed="false">
      <c r="A534" s="29" t="n">
        <v>660</v>
      </c>
      <c r="B534" s="29" t="n">
        <v>147.31</v>
      </c>
    </row>
    <row r="535" customFormat="false" ht="15" hidden="false" customHeight="false" outlineLevel="0" collapsed="false">
      <c r="A535" s="29" t="n">
        <v>665</v>
      </c>
      <c r="B535" s="29" t="n">
        <v>148.37</v>
      </c>
    </row>
    <row r="536" customFormat="false" ht="15" hidden="false" customHeight="false" outlineLevel="0" collapsed="false">
      <c r="A536" s="29" t="n">
        <v>670</v>
      </c>
      <c r="B536" s="29" t="n">
        <v>149.43</v>
      </c>
    </row>
    <row r="537" customFormat="false" ht="15" hidden="false" customHeight="false" outlineLevel="0" collapsed="false">
      <c r="A537" s="29" t="n">
        <v>675</v>
      </c>
      <c r="B537" s="29" t="n">
        <v>150.49</v>
      </c>
    </row>
    <row r="538" customFormat="false" ht="15" hidden="false" customHeight="false" outlineLevel="0" collapsed="false">
      <c r="A538" s="29" t="n">
        <v>685</v>
      </c>
      <c r="B538" s="29" t="n">
        <v>152.6</v>
      </c>
    </row>
    <row r="539" customFormat="false" ht="15" hidden="false" customHeight="false" outlineLevel="0" collapsed="false">
      <c r="A539" s="29" t="n">
        <v>690</v>
      </c>
      <c r="B539" s="29" t="n">
        <v>153.66</v>
      </c>
    </row>
    <row r="540" customFormat="false" ht="15" hidden="false" customHeight="false" outlineLevel="0" collapsed="false">
      <c r="A540" s="29" t="n">
        <v>695</v>
      </c>
      <c r="B540" s="29" t="n">
        <v>154.72</v>
      </c>
    </row>
    <row r="541" customFormat="false" ht="15" hidden="false" customHeight="false" outlineLevel="0" collapsed="false">
      <c r="A541" s="29" t="n">
        <v>700</v>
      </c>
      <c r="B541" s="29" t="n">
        <v>155.77</v>
      </c>
    </row>
    <row r="542" customFormat="false" ht="15" hidden="false" customHeight="false" outlineLevel="0" collapsed="false">
      <c r="A542" s="29" t="n">
        <v>705</v>
      </c>
      <c r="B542" s="29" t="n">
        <v>156.83</v>
      </c>
    </row>
    <row r="543" customFormat="false" ht="15" hidden="false" customHeight="false" outlineLevel="0" collapsed="false">
      <c r="A543" s="29" t="n">
        <v>710</v>
      </c>
      <c r="B543" s="29" t="n">
        <v>157.89</v>
      </c>
    </row>
    <row r="544" customFormat="false" ht="15" hidden="false" customHeight="false" outlineLevel="0" collapsed="false">
      <c r="A544" s="29" t="n">
        <v>715</v>
      </c>
      <c r="B544" s="29" t="n">
        <v>158.94</v>
      </c>
    </row>
    <row r="545" customFormat="false" ht="15" hidden="false" customHeight="false" outlineLevel="0" collapsed="false">
      <c r="A545" s="29" t="n">
        <v>720</v>
      </c>
      <c r="B545" s="29" t="n">
        <v>160</v>
      </c>
    </row>
    <row r="546" customFormat="false" ht="15" hidden="false" customHeight="false" outlineLevel="0" collapsed="false">
      <c r="A546" s="29" t="n">
        <v>725</v>
      </c>
      <c r="B546" s="29" t="n">
        <v>161.06</v>
      </c>
    </row>
    <row r="547" customFormat="false" ht="15" hidden="false" customHeight="false" outlineLevel="0" collapsed="false">
      <c r="A547" s="29" t="n">
        <v>730</v>
      </c>
      <c r="B547" s="29" t="n">
        <v>162.11</v>
      </c>
    </row>
    <row r="548" customFormat="false" ht="15" hidden="false" customHeight="false" outlineLevel="0" collapsed="false">
      <c r="A548" s="29" t="n">
        <v>735</v>
      </c>
      <c r="B548" s="29" t="n">
        <v>163.17</v>
      </c>
    </row>
    <row r="549" customFormat="false" ht="15" hidden="false" customHeight="false" outlineLevel="0" collapsed="false">
      <c r="A549" s="29" t="n">
        <v>740</v>
      </c>
      <c r="B549" s="29" t="n">
        <v>164.22</v>
      </c>
    </row>
    <row r="550" customFormat="false" ht="15" hidden="false" customHeight="false" outlineLevel="0" collapsed="false">
      <c r="A550" s="29" t="n">
        <v>745</v>
      </c>
      <c r="B550" s="29" t="n">
        <v>165.28</v>
      </c>
    </row>
    <row r="551" customFormat="false" ht="15" hidden="false" customHeight="false" outlineLevel="0" collapsed="false">
      <c r="A551" s="29" t="n">
        <v>755</v>
      </c>
      <c r="B551" s="29" t="n">
        <v>167.39</v>
      </c>
    </row>
    <row r="552" customFormat="false" ht="15" hidden="false" customHeight="false" outlineLevel="0" collapsed="false">
      <c r="A552" s="29" t="n">
        <v>760</v>
      </c>
      <c r="B552" s="29" t="n">
        <v>168.44</v>
      </c>
    </row>
    <row r="553" customFormat="false" ht="15" hidden="false" customHeight="false" outlineLevel="0" collapsed="false">
      <c r="A553" s="29" t="n">
        <v>765</v>
      </c>
      <c r="B553" s="29" t="n">
        <v>169.5</v>
      </c>
    </row>
    <row r="554" customFormat="false" ht="15" hidden="false" customHeight="false" outlineLevel="0" collapsed="false">
      <c r="A554" s="29" t="n">
        <v>770</v>
      </c>
      <c r="B554" s="29" t="n">
        <v>170.55</v>
      </c>
    </row>
    <row r="555" customFormat="false" ht="15" hidden="false" customHeight="false" outlineLevel="0" collapsed="false">
      <c r="A555" s="29" t="n">
        <v>775</v>
      </c>
      <c r="B555" s="29" t="n">
        <v>171.6</v>
      </c>
    </row>
    <row r="556" customFormat="false" ht="15" hidden="false" customHeight="false" outlineLevel="0" collapsed="false">
      <c r="A556" s="29" t="n">
        <v>780</v>
      </c>
      <c r="B556" s="29" t="n">
        <v>172.66</v>
      </c>
    </row>
    <row r="557" customFormat="false" ht="15" hidden="false" customHeight="false" outlineLevel="0" collapsed="false">
      <c r="A557" s="29" t="n">
        <v>785</v>
      </c>
      <c r="B557" s="29" t="n">
        <v>173.71</v>
      </c>
    </row>
    <row r="558" customFormat="false" ht="15" hidden="false" customHeight="false" outlineLevel="0" collapsed="false">
      <c r="A558" s="29" t="n">
        <v>790</v>
      </c>
      <c r="B558" s="29" t="n">
        <v>174.76</v>
      </c>
    </row>
    <row r="559" customFormat="false" ht="15" hidden="false" customHeight="false" outlineLevel="0" collapsed="false">
      <c r="A559" s="29" t="n">
        <v>795</v>
      </c>
      <c r="B559" s="29" t="n">
        <v>175.82</v>
      </c>
    </row>
    <row r="560" customFormat="false" ht="15" hidden="false" customHeight="false" outlineLevel="0" collapsed="false">
      <c r="A560" s="29" t="n">
        <v>800</v>
      </c>
      <c r="B560" s="29" t="n">
        <v>176.87</v>
      </c>
    </row>
    <row r="561" customFormat="false" ht="15" hidden="false" customHeight="false" outlineLevel="0" collapsed="false">
      <c r="A561" s="29" t="n">
        <v>810</v>
      </c>
      <c r="B561" s="29" t="n">
        <v>178.98</v>
      </c>
    </row>
    <row r="562" customFormat="false" ht="15" hidden="false" customHeight="false" outlineLevel="0" collapsed="false">
      <c r="A562" s="29" t="n">
        <v>820</v>
      </c>
      <c r="B562" s="29" t="n">
        <v>181.08</v>
      </c>
    </row>
    <row r="563" customFormat="false" ht="15" hidden="false" customHeight="false" outlineLevel="0" collapsed="false">
      <c r="A563" s="29" t="n">
        <v>830</v>
      </c>
      <c r="B563" s="29" t="n">
        <v>183.19</v>
      </c>
    </row>
    <row r="564" customFormat="false" ht="15" hidden="false" customHeight="false" outlineLevel="0" collapsed="false">
      <c r="A564" s="29" t="n">
        <v>840</v>
      </c>
      <c r="B564" s="29" t="n">
        <v>185.29</v>
      </c>
    </row>
    <row r="565" customFormat="false" ht="15" hidden="false" customHeight="false" outlineLevel="0" collapsed="false">
      <c r="A565" s="29" t="n">
        <v>850</v>
      </c>
      <c r="B565" s="29" t="n">
        <v>187.39</v>
      </c>
    </row>
    <row r="566" customFormat="false" ht="15" hidden="false" customHeight="false" outlineLevel="0" collapsed="false">
      <c r="A566" s="29" t="n">
        <v>860</v>
      </c>
      <c r="B566" s="29" t="n">
        <v>189.49</v>
      </c>
    </row>
    <row r="567" customFormat="false" ht="15" hidden="false" customHeight="false" outlineLevel="0" collapsed="false">
      <c r="A567" s="29" t="n">
        <v>870</v>
      </c>
      <c r="B567" s="29" t="n">
        <v>191.6</v>
      </c>
    </row>
    <row r="568" customFormat="false" ht="15" hidden="false" customHeight="false" outlineLevel="0" collapsed="false">
      <c r="A568" s="29" t="n">
        <v>880</v>
      </c>
      <c r="B568" s="29" t="n">
        <v>193.7</v>
      </c>
    </row>
    <row r="569" customFormat="false" ht="15" hidden="false" customHeight="false" outlineLevel="0" collapsed="false">
      <c r="A569" s="29" t="n">
        <v>890</v>
      </c>
      <c r="B569" s="29" t="n">
        <v>195.7</v>
      </c>
    </row>
    <row r="570" customFormat="false" ht="15" hidden="false" customHeight="false" outlineLevel="0" collapsed="false">
      <c r="A570" s="29" t="n">
        <v>900</v>
      </c>
      <c r="B570" s="29" t="n">
        <v>197.9</v>
      </c>
    </row>
    <row r="571" customFormat="false" ht="15" hidden="false" customHeight="false" outlineLevel="0" collapsed="false">
      <c r="A571" s="29" t="n">
        <v>910</v>
      </c>
      <c r="B571" s="29" t="n">
        <v>200</v>
      </c>
    </row>
    <row r="572" customFormat="false" ht="15" hidden="false" customHeight="false" outlineLevel="0" collapsed="false">
      <c r="A572" s="29" t="n">
        <v>920</v>
      </c>
      <c r="B572" s="29" t="n">
        <v>202.1</v>
      </c>
    </row>
    <row r="573" customFormat="false" ht="15" hidden="false" customHeight="false" outlineLevel="0" collapsed="false">
      <c r="A573" s="29" t="n">
        <v>930</v>
      </c>
      <c r="B573" s="29" t="n">
        <v>204.2</v>
      </c>
    </row>
    <row r="574" customFormat="false" ht="15" hidden="false" customHeight="false" outlineLevel="0" collapsed="false">
      <c r="A574" s="29" t="n">
        <v>940</v>
      </c>
      <c r="B574" s="29" t="n">
        <v>206.3</v>
      </c>
    </row>
    <row r="575" customFormat="false" ht="15" hidden="false" customHeight="false" outlineLevel="0" collapsed="false">
      <c r="A575" s="29" t="n">
        <v>950</v>
      </c>
      <c r="B575" s="29" t="n">
        <v>208.39</v>
      </c>
    </row>
    <row r="576" customFormat="false" ht="15" hidden="false" customHeight="false" outlineLevel="0" collapsed="false">
      <c r="A576" s="29" t="n">
        <v>960</v>
      </c>
      <c r="B576" s="29" t="n">
        <v>210.49</v>
      </c>
    </row>
    <row r="577" customFormat="false" ht="15" hidden="false" customHeight="false" outlineLevel="0" collapsed="false">
      <c r="A577" s="29" t="n">
        <v>970</v>
      </c>
      <c r="B577" s="29" t="n">
        <v>212.59</v>
      </c>
    </row>
    <row r="578" customFormat="false" ht="15" hidden="false" customHeight="false" outlineLevel="0" collapsed="false">
      <c r="A578" s="29" t="n">
        <v>980</v>
      </c>
      <c r="B578" s="29" t="n">
        <v>214.68</v>
      </c>
    </row>
    <row r="579" customFormat="false" ht="15" hidden="false" customHeight="false" outlineLevel="0" collapsed="false">
      <c r="A579" s="29" t="n">
        <v>990</v>
      </c>
      <c r="B579" s="29" t="n">
        <v>216.78</v>
      </c>
    </row>
    <row r="580" customFormat="false" ht="15" hidden="false" customHeight="false" outlineLevel="0" collapsed="false">
      <c r="A580" s="29" t="n">
        <v>1000</v>
      </c>
      <c r="B580" s="29" t="n">
        <v>218.87</v>
      </c>
    </row>
    <row r="581" customFormat="false" ht="15" hidden="false" customHeight="false" outlineLevel="0" collapsed="false">
      <c r="A581" s="29" t="n">
        <v>1250</v>
      </c>
      <c r="B581" s="29" t="n">
        <v>271.14</v>
      </c>
    </row>
    <row r="582" customFormat="false" ht="15" hidden="false" customHeight="false" outlineLevel="0" collapsed="false">
      <c r="A582" s="29" t="n">
        <v>1600</v>
      </c>
      <c r="B582" s="29" t="n">
        <v>343.9</v>
      </c>
    </row>
    <row r="583" customFormat="false" ht="15" hidden="false" customHeight="false" outlineLevel="0" collapsed="false">
      <c r="A583" s="29" t="n">
        <v>2000</v>
      </c>
      <c r="B583" s="29" t="n">
        <v>426.8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4" min="2" style="0" width="7"/>
  </cols>
  <sheetData>
    <row r="1" customFormat="false" ht="16.15" hidden="false" customHeight="false" outlineLevel="0" collapsed="false">
      <c r="A1" s="3" t="s">
        <v>214</v>
      </c>
    </row>
    <row r="3" customFormat="false" ht="15" hidden="false" customHeight="false" outlineLevel="0" collapsed="false">
      <c r="A3" s="9" t="s">
        <v>215</v>
      </c>
      <c r="B3" s="5" t="n">
        <v>1</v>
      </c>
      <c r="C3" s="5" t="n">
        <v>3</v>
      </c>
      <c r="D3" s="5" t="n">
        <v>5</v>
      </c>
      <c r="E3" s="5" t="n">
        <v>7</v>
      </c>
      <c r="F3" s="5" t="n">
        <v>10</v>
      </c>
      <c r="G3" s="5" t="n">
        <v>15</v>
      </c>
      <c r="H3" s="5" t="n">
        <v>20</v>
      </c>
      <c r="I3" s="5" t="n">
        <v>30</v>
      </c>
      <c r="J3" s="5" t="n">
        <v>40</v>
      </c>
      <c r="K3" s="5" t="n">
        <v>50</v>
      </c>
      <c r="L3" s="5" t="n">
        <v>100</v>
      </c>
      <c r="M3" s="5" t="n">
        <v>500</v>
      </c>
      <c r="N3" s="5" t="n">
        <v>1000</v>
      </c>
    </row>
    <row r="4" customFormat="false" ht="15" hidden="false" customHeight="false" outlineLevel="0" collapsed="false">
      <c r="A4" s="5" t="n">
        <v>4</v>
      </c>
      <c r="B4" s="7" t="n">
        <v>0.61</v>
      </c>
      <c r="C4" s="7" t="n">
        <v>0.51</v>
      </c>
      <c r="D4" s="7" t="n">
        <v>0.46</v>
      </c>
      <c r="E4" s="7" t="n">
        <v>0.43</v>
      </c>
      <c r="F4" s="7" t="n">
        <v>0.4</v>
      </c>
      <c r="G4" s="7" t="n">
        <v>0.36</v>
      </c>
      <c r="H4" s="7" t="n">
        <v>0.34</v>
      </c>
      <c r="I4" s="7" t="n">
        <v>0.31</v>
      </c>
      <c r="J4" s="7" t="n">
        <v>0.27</v>
      </c>
      <c r="K4" s="7" t="n">
        <v>0.25</v>
      </c>
      <c r="L4" s="7" t="n">
        <v>0.23</v>
      </c>
      <c r="M4" s="7" t="n">
        <v>0.15</v>
      </c>
      <c r="N4" s="7" t="n">
        <v>0.13</v>
      </c>
    </row>
    <row r="5" customFormat="false" ht="15" hidden="false" customHeight="false" outlineLevel="0" collapsed="false">
      <c r="A5" s="5" t="n">
        <v>8</v>
      </c>
      <c r="B5" s="7" t="n">
        <v>0.63</v>
      </c>
      <c r="C5" s="7" t="n">
        <v>0.53</v>
      </c>
      <c r="D5" s="7" t="n">
        <v>0.48</v>
      </c>
      <c r="E5" s="7" t="n">
        <v>0.45</v>
      </c>
      <c r="F5" s="7" t="n">
        <v>0.41</v>
      </c>
      <c r="G5" s="7" t="n">
        <v>0.37</v>
      </c>
      <c r="H5" s="7" t="n">
        <v>0.35</v>
      </c>
      <c r="I5" s="7" t="n">
        <v>0.32</v>
      </c>
      <c r="J5" s="7" t="n">
        <v>0.28</v>
      </c>
      <c r="K5" s="7" t="n">
        <v>0.26</v>
      </c>
      <c r="L5" s="7" t="n">
        <v>0.24</v>
      </c>
      <c r="M5" s="7" t="n">
        <v>0.16</v>
      </c>
      <c r="N5" s="7" t="n">
        <v>0.13</v>
      </c>
    </row>
    <row r="6" customFormat="false" ht="15" hidden="false" customHeight="false" outlineLevel="0" collapsed="false">
      <c r="A6" s="5" t="n">
        <v>12</v>
      </c>
      <c r="B6" s="7" t="n">
        <v>0.64</v>
      </c>
      <c r="C6" s="7" t="n">
        <v>0.54</v>
      </c>
      <c r="D6" s="7" t="n">
        <v>0.49</v>
      </c>
      <c r="E6" s="7" t="n">
        <v>0.46</v>
      </c>
      <c r="F6" s="7" t="n">
        <v>0.42</v>
      </c>
      <c r="G6" s="7" t="n">
        <v>0.39</v>
      </c>
      <c r="H6" s="7" t="n">
        <v>0.36</v>
      </c>
      <c r="I6" s="7" t="n">
        <v>0.33</v>
      </c>
      <c r="J6" s="7" t="n">
        <v>0.29</v>
      </c>
      <c r="K6" s="7" t="n">
        <v>0.26</v>
      </c>
      <c r="L6" s="7" t="n">
        <v>0.24</v>
      </c>
      <c r="M6" s="7" t="n">
        <v>0.16</v>
      </c>
      <c r="N6" s="7" t="n">
        <v>0.14</v>
      </c>
    </row>
    <row r="7" customFormat="false" ht="15" hidden="false" customHeight="false" outlineLevel="0" collapsed="false">
      <c r="A7" s="5" t="n">
        <v>16</v>
      </c>
      <c r="B7" s="7" t="n">
        <v>0.65</v>
      </c>
      <c r="C7" s="7" t="n">
        <v>0.55</v>
      </c>
      <c r="D7" s="7" t="n">
        <v>0.5</v>
      </c>
      <c r="E7" s="7" t="n">
        <v>0.47</v>
      </c>
      <c r="F7" s="7" t="n">
        <v>0.43</v>
      </c>
      <c r="G7" s="7" t="n">
        <v>0.39</v>
      </c>
      <c r="H7" s="7" t="n">
        <v>0.37</v>
      </c>
      <c r="I7" s="7" t="n">
        <v>0.33</v>
      </c>
      <c r="J7" s="7" t="n">
        <v>0.3</v>
      </c>
      <c r="K7" s="7" t="n">
        <v>0.27</v>
      </c>
      <c r="L7" s="7" t="n">
        <v>0.25</v>
      </c>
      <c r="M7" s="7" t="n">
        <v>0.17</v>
      </c>
      <c r="N7" s="7" t="n">
        <v>0.14</v>
      </c>
    </row>
    <row r="8" customFormat="false" ht="15" hidden="false" customHeight="false" outlineLevel="0" collapsed="false">
      <c r="A8" s="5" t="n">
        <v>20</v>
      </c>
      <c r="B8" s="7" t="n">
        <v>0.66</v>
      </c>
      <c r="C8" s="7" t="n">
        <v>0.56</v>
      </c>
      <c r="D8" s="7" t="n">
        <v>0.51</v>
      </c>
      <c r="E8" s="7" t="n">
        <v>0.48</v>
      </c>
      <c r="F8" s="7" t="n">
        <v>0.44</v>
      </c>
      <c r="G8" s="7" t="n">
        <v>0.4</v>
      </c>
      <c r="H8" s="7" t="n">
        <v>0.38</v>
      </c>
      <c r="I8" s="7" t="n">
        <v>0.34</v>
      </c>
      <c r="J8" s="7" t="n">
        <v>0.3</v>
      </c>
      <c r="K8" s="7" t="n">
        <v>0.28</v>
      </c>
      <c r="L8" s="7" t="n">
        <v>0.25</v>
      </c>
      <c r="M8" s="7" t="n">
        <v>0.17</v>
      </c>
      <c r="N8" s="7" t="n">
        <v>0.14</v>
      </c>
    </row>
    <row r="9" customFormat="false" ht="15" hidden="false" customHeight="false" outlineLevel="0" collapsed="false">
      <c r="A9" s="5" t="n">
        <v>24</v>
      </c>
      <c r="B9" s="7" t="n">
        <v>0.67</v>
      </c>
      <c r="C9" s="7" t="n">
        <v>0.57</v>
      </c>
      <c r="D9" s="7" t="n">
        <v>0.52</v>
      </c>
      <c r="E9" s="7" t="n">
        <v>0.48</v>
      </c>
      <c r="F9" s="7" t="n">
        <v>0.45</v>
      </c>
      <c r="G9" s="7" t="n">
        <v>0.41</v>
      </c>
      <c r="H9" s="7" t="n">
        <v>0.38</v>
      </c>
      <c r="I9" s="7" t="n">
        <v>0.35</v>
      </c>
      <c r="J9" s="7" t="n">
        <v>0.31</v>
      </c>
      <c r="K9" s="7" t="n">
        <v>0.28</v>
      </c>
      <c r="L9" s="7" t="n">
        <v>0.26</v>
      </c>
      <c r="M9" s="7" t="n">
        <v>0.17</v>
      </c>
      <c r="N9" s="7" t="n">
        <v>0.15</v>
      </c>
    </row>
    <row r="10" customFormat="false" ht="15" hidden="false" customHeight="false" outlineLevel="0" collapsed="false">
      <c r="A10" s="5" t="n">
        <v>28</v>
      </c>
      <c r="B10" s="7" t="n">
        <v>0.68</v>
      </c>
      <c r="C10" s="7" t="n">
        <v>0.58</v>
      </c>
      <c r="D10" s="7" t="n">
        <v>0.53</v>
      </c>
      <c r="E10" s="7" t="n">
        <v>0.49</v>
      </c>
      <c r="F10" s="7" t="n">
        <v>0.46</v>
      </c>
      <c r="G10" s="7" t="n">
        <v>0.42</v>
      </c>
      <c r="H10" s="7" t="n">
        <v>0.39</v>
      </c>
      <c r="I10" s="7" t="n">
        <v>0.36</v>
      </c>
      <c r="J10" s="7" t="n">
        <v>0.31</v>
      </c>
      <c r="K10" s="7" t="n">
        <v>0.29</v>
      </c>
      <c r="L10" s="7" t="n">
        <v>0.27</v>
      </c>
      <c r="M10" s="7" t="n">
        <v>0.18</v>
      </c>
      <c r="N10" s="7" t="n">
        <v>0.15</v>
      </c>
    </row>
    <row r="11" customFormat="false" ht="15" hidden="false" customHeight="false" outlineLevel="0" collapsed="false">
      <c r="A11" s="5" t="n">
        <v>32</v>
      </c>
      <c r="B11" s="7" t="n">
        <v>0.68</v>
      </c>
      <c r="C11" s="7" t="n">
        <v>0.59</v>
      </c>
      <c r="D11" s="7" t="n">
        <v>0.53</v>
      </c>
      <c r="E11" s="7" t="n">
        <v>0.5</v>
      </c>
      <c r="F11" s="7" t="n">
        <v>0.47</v>
      </c>
      <c r="G11" s="7" t="n">
        <v>0.43</v>
      </c>
      <c r="H11" s="7" t="n">
        <v>0.4</v>
      </c>
      <c r="I11" s="7" t="n">
        <v>0.36</v>
      </c>
      <c r="J11" s="7" t="n">
        <v>0.32</v>
      </c>
      <c r="K11" s="7" t="n">
        <v>0.3</v>
      </c>
      <c r="L11" s="7" t="n">
        <v>0.27</v>
      </c>
      <c r="M11" s="7" t="n">
        <v>0.18</v>
      </c>
      <c r="N11" s="7" t="n">
        <v>0.15</v>
      </c>
    </row>
    <row r="12" customFormat="false" ht="15" hidden="false" customHeight="false" outlineLevel="0" collapsed="false">
      <c r="A12" s="5" t="n">
        <v>36</v>
      </c>
      <c r="B12" s="7" t="n">
        <v>0.69</v>
      </c>
      <c r="C12" s="7" t="n">
        <v>0.59</v>
      </c>
      <c r="D12" s="7" t="n">
        <v>0.54</v>
      </c>
      <c r="E12" s="7" t="n">
        <v>0.51</v>
      </c>
      <c r="F12" s="7" t="n">
        <v>0.47</v>
      </c>
      <c r="G12" s="7" t="n">
        <v>0.43</v>
      </c>
      <c r="H12" s="7" t="n">
        <v>0.4</v>
      </c>
      <c r="I12" s="7" t="n">
        <v>0.37</v>
      </c>
      <c r="J12" s="7" t="n">
        <v>0.33</v>
      </c>
      <c r="K12" s="7" t="n">
        <v>0.3</v>
      </c>
      <c r="L12" s="7" t="n">
        <v>0.28</v>
      </c>
      <c r="M12" s="7" t="n">
        <v>0.19</v>
      </c>
      <c r="N12" s="7" t="n">
        <v>0.16</v>
      </c>
    </row>
    <row r="13" customFormat="false" ht="15" hidden="false" customHeight="false" outlineLevel="0" collapsed="false">
      <c r="A13" s="5" t="n">
        <v>40</v>
      </c>
      <c r="B13" s="7" t="n">
        <v>0.7</v>
      </c>
      <c r="C13" s="7" t="n">
        <v>0.6</v>
      </c>
      <c r="D13" s="7" t="n">
        <v>0.55</v>
      </c>
      <c r="E13" s="7" t="n">
        <v>0.52</v>
      </c>
      <c r="F13" s="7" t="n">
        <v>0.48</v>
      </c>
      <c r="G13" s="7" t="n">
        <v>0.44</v>
      </c>
      <c r="H13" s="7" t="n">
        <v>0.41</v>
      </c>
      <c r="I13" s="7" t="n">
        <v>0.37</v>
      </c>
      <c r="J13" s="7" t="n">
        <v>0.33</v>
      </c>
      <c r="K13" s="7" t="n">
        <v>0.31</v>
      </c>
      <c r="L13" s="7" t="n">
        <v>0.28</v>
      </c>
      <c r="M13" s="7" t="n">
        <v>0.19</v>
      </c>
      <c r="N13" s="7" t="n">
        <v>0.16</v>
      </c>
    </row>
    <row r="14" customFormat="false" ht="15" hidden="false" customHeight="false" outlineLevel="0" collapsed="false">
      <c r="A14" s="5" t="n">
        <v>100</v>
      </c>
      <c r="B14" s="7" t="n">
        <v>0.77</v>
      </c>
      <c r="C14" s="7" t="n">
        <v>0.69</v>
      </c>
      <c r="D14" s="7" t="n">
        <v>0.64</v>
      </c>
      <c r="E14" s="7" t="n">
        <v>0.6</v>
      </c>
      <c r="F14" s="7" t="n">
        <v>0.56</v>
      </c>
      <c r="G14" s="7" t="n">
        <v>0.52</v>
      </c>
      <c r="H14" s="7" t="n">
        <v>0.49</v>
      </c>
      <c r="I14" s="7" t="n">
        <v>0.45</v>
      </c>
      <c r="J14" s="7" t="n">
        <v>0.4</v>
      </c>
      <c r="K14" s="7" t="n">
        <v>0.37</v>
      </c>
      <c r="L14" s="7" t="n">
        <v>0.34</v>
      </c>
      <c r="M14" s="7" t="n">
        <v>0.23</v>
      </c>
      <c r="N14" s="7" t="n">
        <v>0.2</v>
      </c>
    </row>
    <row r="15" customFormat="false" ht="15" hidden="false" customHeight="false" outlineLevel="0" collapsed="false">
      <c r="A15" s="5" t="n">
        <v>500</v>
      </c>
      <c r="B15" s="7" t="n">
        <v>0.95</v>
      </c>
      <c r="C15" s="7" t="n">
        <v>0.92</v>
      </c>
      <c r="D15" s="7" t="n">
        <v>0.89</v>
      </c>
      <c r="E15" s="7" t="n">
        <v>0.88</v>
      </c>
      <c r="F15" s="7" t="n">
        <v>0.86</v>
      </c>
      <c r="G15" s="7" t="n">
        <v>0.83</v>
      </c>
      <c r="H15" s="7" t="n">
        <v>0.81</v>
      </c>
      <c r="I15" s="7" t="n">
        <v>0.77</v>
      </c>
      <c r="J15" s="7" t="n">
        <v>0.73</v>
      </c>
      <c r="K15" s="7" t="n">
        <v>0.7</v>
      </c>
      <c r="L15" s="7" t="n">
        <v>0.66</v>
      </c>
      <c r="M15" s="7" t="n">
        <v>0.5</v>
      </c>
      <c r="N15" s="7" t="n">
        <v>0.44</v>
      </c>
    </row>
    <row r="16" customFormat="false" ht="15" hidden="false" customHeight="false" outlineLevel="0" collapsed="false">
      <c r="A16" s="5" t="n">
        <v>1000</v>
      </c>
      <c r="B16" s="7" t="n">
        <v>0.99</v>
      </c>
      <c r="C16" s="7" t="n">
        <v>0.98</v>
      </c>
      <c r="D16" s="7" t="n">
        <v>0.97</v>
      </c>
      <c r="E16" s="7" t="n">
        <v>0.97</v>
      </c>
      <c r="F16" s="7" t="n">
        <v>0.96</v>
      </c>
      <c r="G16" s="7" t="n">
        <v>0.95</v>
      </c>
      <c r="H16" s="7" t="n">
        <v>0.94</v>
      </c>
      <c r="I16" s="7" t="n">
        <v>0.93</v>
      </c>
      <c r="J16" s="7" t="n">
        <v>0.91</v>
      </c>
      <c r="K16" s="7" t="n">
        <v>0.9</v>
      </c>
      <c r="L16" s="7" t="n">
        <v>0.88</v>
      </c>
      <c r="M16" s="7" t="n">
        <v>0.77</v>
      </c>
      <c r="N16" s="7" t="n">
        <v>0.71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3" t="s">
        <v>216</v>
      </c>
    </row>
    <row r="2" customFormat="false" ht="25.35" hidden="false" customHeight="false" outlineLevel="0" collapsed="false">
      <c r="A2" s="9" t="s">
        <v>217</v>
      </c>
      <c r="B2" s="9" t="s">
        <v>218</v>
      </c>
      <c r="C2" s="9" t="s">
        <v>127</v>
      </c>
      <c r="D2" s="9" t="s">
        <v>219</v>
      </c>
      <c r="E2" s="9" t="s">
        <v>220</v>
      </c>
    </row>
    <row r="3" customFormat="false" ht="15" hidden="false" customHeight="false" outlineLevel="0" collapsed="false">
      <c r="A3" s="5" t="n">
        <v>15</v>
      </c>
      <c r="B3" s="6" t="n">
        <v>1.2</v>
      </c>
      <c r="C3" s="32" t="n">
        <v>14.5</v>
      </c>
      <c r="D3" s="6" t="n">
        <v>5</v>
      </c>
      <c r="E3" s="33" t="b">
        <f aca="false">AND(B3&gt;=Напор!$C$5,C3*Напор!$C$6^2&lt;=D3)</f>
        <v>0</v>
      </c>
    </row>
    <row r="4" customFormat="false" ht="15" hidden="false" customHeight="false" outlineLevel="0" collapsed="false">
      <c r="A4" s="5" t="n">
        <v>20</v>
      </c>
      <c r="B4" s="6" t="n">
        <v>2</v>
      </c>
      <c r="C4" s="32" t="n">
        <v>5.18</v>
      </c>
      <c r="D4" s="6" t="n">
        <v>5</v>
      </c>
      <c r="E4" s="33" t="b">
        <f aca="false">AND(B4&gt;=Напор!$C$5,C4*Напор!$C$6^2&lt;=D4)</f>
        <v>0</v>
      </c>
    </row>
    <row r="5" customFormat="false" ht="15" hidden="false" customHeight="false" outlineLevel="0" collapsed="false">
      <c r="A5" s="5" t="n">
        <v>25</v>
      </c>
      <c r="B5" s="6" t="n">
        <v>2.8</v>
      </c>
      <c r="C5" s="32" t="n">
        <v>2.64</v>
      </c>
      <c r="D5" s="6" t="n">
        <v>5</v>
      </c>
      <c r="E5" s="33" t="b">
        <f aca="false">AND(B5&gt;=Напор!$C$5,C5*Напор!$C$6^2&lt;=D5)</f>
        <v>0</v>
      </c>
    </row>
    <row r="6" customFormat="false" ht="15" hidden="false" customHeight="false" outlineLevel="0" collapsed="false">
      <c r="A6" s="5" t="n">
        <v>32</v>
      </c>
      <c r="B6" s="6" t="n">
        <v>4</v>
      </c>
      <c r="C6" s="32" t="n">
        <v>1.3</v>
      </c>
      <c r="D6" s="6" t="n">
        <v>5</v>
      </c>
      <c r="E6" s="33" t="b">
        <f aca="false">AND(B6&gt;=Напор!$C$5,C6*Напор!$C$6^2&lt;=D6)</f>
        <v>0</v>
      </c>
    </row>
    <row r="7" customFormat="false" ht="15" hidden="false" customHeight="false" outlineLevel="0" collapsed="false">
      <c r="A7" s="5" t="n">
        <v>40</v>
      </c>
      <c r="B7" s="6" t="n">
        <v>6.4</v>
      </c>
      <c r="C7" s="32" t="n">
        <v>0.5</v>
      </c>
      <c r="D7" s="6" t="n">
        <v>5</v>
      </c>
      <c r="E7" s="33" t="b">
        <f aca="false">AND(B7&gt;=Напор!$C$5,C7*Напор!$C$6^2&lt;=D7)</f>
        <v>1</v>
      </c>
    </row>
    <row r="8" customFormat="false" ht="15" hidden="false" customHeight="false" outlineLevel="0" collapsed="false">
      <c r="A8" s="5" t="n">
        <v>50</v>
      </c>
      <c r="B8" s="6" t="n">
        <v>12</v>
      </c>
      <c r="C8" s="32" t="n">
        <v>0.143</v>
      </c>
      <c r="D8" s="6" t="n">
        <v>2.5</v>
      </c>
      <c r="E8" s="33" t="b">
        <f aca="false">AND(B8&gt;=Напор!$C$5,C8*Напор!$C$6^2&lt;=D8)</f>
        <v>1</v>
      </c>
    </row>
    <row r="9" customFormat="false" ht="15" hidden="false" customHeight="false" outlineLevel="0" collapsed="false">
      <c r="A9" s="5" t="n">
        <v>65</v>
      </c>
      <c r="B9" s="6" t="n">
        <v>17</v>
      </c>
      <c r="C9" s="32" t="n">
        <v>0.0081</v>
      </c>
      <c r="D9" s="6" t="n">
        <v>2.5</v>
      </c>
      <c r="E9" s="33" t="b">
        <f aca="false">AND(B9&gt;=Напор!$C$5,C9*Напор!$C$6^2&lt;=D9)</f>
        <v>1</v>
      </c>
    </row>
    <row r="10" customFormat="false" ht="15" hidden="false" customHeight="false" outlineLevel="0" collapsed="false">
      <c r="A10" s="5" t="n">
        <v>80</v>
      </c>
      <c r="B10" s="6" t="n">
        <v>36</v>
      </c>
      <c r="C10" s="32" t="n">
        <v>0.00264</v>
      </c>
      <c r="D10" s="6" t="n">
        <v>2.5</v>
      </c>
      <c r="E10" s="33" t="b">
        <f aca="false">AND(B10&gt;=Напор!$C$5,C10*Напор!$C$6^2&lt;=D10)</f>
        <v>1</v>
      </c>
    </row>
    <row r="11" customFormat="false" ht="15" hidden="false" customHeight="false" outlineLevel="0" collapsed="false">
      <c r="A11" s="5" t="n">
        <v>100</v>
      </c>
      <c r="B11" s="6" t="n">
        <v>65</v>
      </c>
      <c r="C11" s="32" t="n">
        <v>0.000766</v>
      </c>
      <c r="D11" s="6" t="n">
        <v>2.5</v>
      </c>
      <c r="E11" s="33" t="b">
        <f aca="false">AND(B11&gt;=Напор!$C$5,C11*Напор!$C$6^2&lt;=D11)</f>
        <v>1</v>
      </c>
    </row>
    <row r="12" customFormat="false" ht="15" hidden="false" customHeight="false" outlineLevel="0" collapsed="false">
      <c r="A12" s="5" t="n">
        <v>150</v>
      </c>
      <c r="B12" s="6" t="n">
        <v>140</v>
      </c>
      <c r="C12" s="32" t="n">
        <v>0.00013</v>
      </c>
      <c r="D12" s="6" t="n">
        <v>2.5</v>
      </c>
      <c r="E12" s="33" t="b">
        <f aca="false">AND(B12&gt;=Напор!$C$5,C12*Напор!$C$6^2&lt;=D12)</f>
        <v>1</v>
      </c>
    </row>
    <row r="13" customFormat="false" ht="15" hidden="false" customHeight="false" outlineLevel="0" collapsed="false">
      <c r="A13" s="5" t="n">
        <v>200</v>
      </c>
      <c r="B13" s="6" t="n">
        <v>210</v>
      </c>
      <c r="C13" s="32" t="n">
        <v>3.5E-005</v>
      </c>
      <c r="D13" s="6" t="n">
        <v>2.5</v>
      </c>
      <c r="E13" s="33" t="b">
        <f aca="false">AND(B13&gt;=Напор!$C$5,C13*Напор!$C$6^2&lt;=D13)</f>
        <v>1</v>
      </c>
    </row>
    <row r="14" customFormat="false" ht="15" hidden="false" customHeight="false" outlineLevel="0" collapsed="false">
      <c r="A14" s="5" t="n">
        <v>250</v>
      </c>
      <c r="B14" s="6" t="n">
        <v>380</v>
      </c>
      <c r="C14" s="32" t="n">
        <v>1.8E-005</v>
      </c>
      <c r="D14" s="6" t="n">
        <v>2.5</v>
      </c>
      <c r="E14" s="33" t="b">
        <f aca="false">AND(B14&gt;=Напор!$C$5,C14*Напор!$C$6^2&lt;=D14)</f>
        <v>1</v>
      </c>
    </row>
    <row r="15" customFormat="false" ht="147" hidden="false" customHeight="false" outlineLevel="0" collapsed="false">
      <c r="A15" s="11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3" t="s">
        <v>222</v>
      </c>
    </row>
    <row r="2" customFormat="false" ht="25.35" hidden="false" customHeight="false" outlineLevel="0" collapsed="false">
      <c r="A2" s="9" t="s">
        <v>88</v>
      </c>
      <c r="B2" s="9" t="s">
        <v>116</v>
      </c>
      <c r="C2" s="9" t="s">
        <v>223</v>
      </c>
      <c r="E2" s="9" t="s">
        <v>224</v>
      </c>
      <c r="F2" s="9" t="s">
        <v>116</v>
      </c>
    </row>
    <row r="3" customFormat="false" ht="15" hidden="false" customHeight="false" outlineLevel="0" collapsed="false">
      <c r="A3" s="5" t="n">
        <v>15</v>
      </c>
      <c r="B3" s="6" t="n">
        <v>15.7</v>
      </c>
      <c r="C3" s="24" t="n">
        <f aca="false">B3-1</f>
        <v>14.7</v>
      </c>
      <c r="E3" s="5" t="n">
        <v>63</v>
      </c>
      <c r="F3" s="6" t="n">
        <v>55.4</v>
      </c>
    </row>
    <row r="4" customFormat="false" ht="15" hidden="false" customHeight="false" outlineLevel="0" collapsed="false">
      <c r="A4" s="5" t="n">
        <v>20</v>
      </c>
      <c r="B4" s="6" t="n">
        <v>21.2</v>
      </c>
      <c r="C4" s="24" t="n">
        <f aca="false">B4-1</f>
        <v>20.2</v>
      </c>
      <c r="E4" s="5" t="n">
        <v>75</v>
      </c>
      <c r="F4" s="6" t="n">
        <v>66</v>
      </c>
    </row>
    <row r="5" customFormat="false" ht="15" hidden="false" customHeight="false" outlineLevel="0" collapsed="false">
      <c r="A5" s="5" t="n">
        <v>25</v>
      </c>
      <c r="B5" s="6" t="n">
        <v>27.1</v>
      </c>
      <c r="C5" s="24" t="n">
        <f aca="false">B5-1</f>
        <v>26.1</v>
      </c>
      <c r="E5" s="5" t="n">
        <v>90</v>
      </c>
      <c r="F5" s="6" t="n">
        <v>79.2</v>
      </c>
    </row>
    <row r="6" customFormat="false" ht="15" hidden="false" customHeight="false" outlineLevel="0" collapsed="false">
      <c r="A6" s="5" t="n">
        <v>32</v>
      </c>
      <c r="B6" s="6" t="n">
        <v>35.9</v>
      </c>
      <c r="C6" s="24" t="n">
        <f aca="false">B6-1</f>
        <v>34.9</v>
      </c>
      <c r="E6" s="5" t="n">
        <v>110</v>
      </c>
      <c r="F6" s="6" t="n">
        <v>96.8</v>
      </c>
    </row>
    <row r="7" customFormat="false" ht="15" hidden="false" customHeight="false" outlineLevel="0" collapsed="false">
      <c r="A7" s="5" t="n">
        <v>40</v>
      </c>
      <c r="B7" s="6" t="n">
        <v>41</v>
      </c>
      <c r="C7" s="24" t="n">
        <f aca="false">B7-1</f>
        <v>40</v>
      </c>
      <c r="E7" s="5" t="n">
        <v>125</v>
      </c>
      <c r="F7" s="6" t="n">
        <v>110.2</v>
      </c>
    </row>
    <row r="8" customFormat="false" ht="15" hidden="false" customHeight="false" outlineLevel="0" collapsed="false">
      <c r="A8" s="5" t="n">
        <v>50</v>
      </c>
      <c r="B8" s="6" t="n">
        <v>53</v>
      </c>
      <c r="C8" s="24" t="n">
        <f aca="false">B8-1</f>
        <v>52</v>
      </c>
    </row>
    <row r="9" customFormat="false" ht="15" hidden="false" customHeight="false" outlineLevel="0" collapsed="false">
      <c r="A9" s="5" t="n">
        <v>65</v>
      </c>
      <c r="B9" s="6" t="n">
        <v>67.5</v>
      </c>
      <c r="C9" s="24" t="n">
        <f aca="false">B9-1</f>
        <v>66.5</v>
      </c>
    </row>
    <row r="10" customFormat="false" ht="15" hidden="false" customHeight="false" outlineLevel="0" collapsed="false">
      <c r="A10" s="5" t="n">
        <v>80</v>
      </c>
      <c r="B10" s="6" t="n">
        <v>80.5</v>
      </c>
      <c r="C10" s="24" t="n">
        <f aca="false">B10-1</f>
        <v>79.5</v>
      </c>
    </row>
    <row r="11" customFormat="false" ht="15" hidden="false" customHeight="false" outlineLevel="0" collapsed="false">
      <c r="A11" s="5" t="n">
        <v>100</v>
      </c>
      <c r="B11" s="6" t="n">
        <v>105</v>
      </c>
      <c r="C11" s="24" t="n">
        <f aca="false">B11-1</f>
        <v>104</v>
      </c>
    </row>
    <row r="13" customFormat="false" ht="147" hidden="false" customHeight="false" outlineLevel="0" collapsed="false">
      <c r="A13" s="1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1"/>
  </cols>
  <sheetData>
    <row r="1" customFormat="false" ht="16.15" hidden="false" customHeight="false" outlineLevel="0" collapsed="false">
      <c r="A1" s="3" t="s">
        <v>226</v>
      </c>
    </row>
    <row r="3" customFormat="false" ht="15" hidden="false" customHeight="false" outlineLevel="0" collapsed="false">
      <c r="A3" s="9" t="s">
        <v>227</v>
      </c>
      <c r="B3" s="28" t="n">
        <f aca="false">К1!I12/1000</f>
        <v>0.1</v>
      </c>
      <c r="C3" s="28" t="n">
        <f aca="false">К1!I13/1000</f>
        <v>0.1</v>
      </c>
      <c r="D3" s="28" t="n">
        <f aca="false">К1!I14/1000</f>
        <v>0.15</v>
      </c>
      <c r="E3" s="28" t="n">
        <f aca="false">К1!I15/1000</f>
        <v>0.15</v>
      </c>
      <c r="F3" s="28" t="n">
        <f aca="false">К1!I16/1000</f>
        <v>0.15</v>
      </c>
    </row>
    <row r="4" customFormat="false" ht="15" hidden="false" customHeight="false" outlineLevel="0" collapsed="false">
      <c r="A4" s="9" t="s">
        <v>119</v>
      </c>
      <c r="B4" s="28" t="n">
        <f aca="false">К1!J12</f>
        <v>0.02</v>
      </c>
      <c r="C4" s="28" t="n">
        <f aca="false">К1!J13</f>
        <v>0.02</v>
      </c>
      <c r="D4" s="28" t="n">
        <f aca="false">К1!J14</f>
        <v>0.008</v>
      </c>
      <c r="E4" s="28" t="n">
        <f aca="false">К1!J15</f>
        <v>0.008</v>
      </c>
      <c r="F4" s="28" t="n">
        <f aca="false">К1!J16</f>
        <v>0.008</v>
      </c>
    </row>
    <row r="5" customFormat="false" ht="37.3" hidden="false" customHeight="false" outlineLevel="0" collapsed="false">
      <c r="A5" s="9" t="s">
        <v>171</v>
      </c>
      <c r="B5" s="34" t="str">
        <f aca="false">К1!A12</f>
        <v>Ст.К1-4 – Ст.К1-3 (чугун SML)</v>
      </c>
      <c r="C5" s="34" t="str">
        <f aca="false">К1!A13</f>
        <v>Ст.К1-3 – КК-1, выпуск К1-2 (чугун SML)</v>
      </c>
      <c r="D5" s="34" t="str">
        <f aca="false">К1!A14</f>
        <v>КК-1 – КК-2 (ПЭ гофр. Ø160)</v>
      </c>
      <c r="E5" s="34" t="str">
        <f aca="false">К1!A15</f>
        <v>КК-2 – ККК (ПЭ гофр. Ø160)</v>
      </c>
      <c r="F5" s="34" t="str">
        <f aca="false">К1!A16</f>
        <v>ККК – ГКК (ПЭ гофр. Ø160)</v>
      </c>
    </row>
    <row r="6" customFormat="false" ht="15" hidden="false" customHeight="false" outlineLevel="0" collapsed="false">
      <c r="A6" s="16" t="n">
        <v>0.05</v>
      </c>
      <c r="B6" s="17" t="n">
        <f aca="false">1000*(B$3^2/8*((2*ACOS(1-2*$A6))-SIN((2*ACOS(1-2*$A6)))))*((B$3^2/8*((2*ACOS(1-2*$A6))-SIN((2*ACOS(1-2*$A6)))))/(B$3*(2*ACOS(1-2*$A6))/2))^(2.5*SQRT(К1!$H$9)-0.13-0.75*SQRT(((B$3^2/8*((2*ACOS(1-2*$A6))-SIN((2*ACOS(1-2*$A6)))))/(B$3*(2*ACOS(1-2*$A6))/2)))*(SQRT(К1!$H$9)-0.1))/К1!$H$9*SQRT(((B$3^2/8*((2*ACOS(1-2*$A6))-SIN((2*ACOS(1-2*$A6)))))/(B$3*(2*ACOS(1-2*$A6))/2))*B$4)</f>
        <v>0.0328824565219675</v>
      </c>
      <c r="C6" s="17" t="n">
        <f aca="false">1000*(C$3^2/8*((2*ACOS(1-2*$A6))-SIN((2*ACOS(1-2*$A6)))))*((C$3^2/8*((2*ACOS(1-2*$A6))-SIN((2*ACOS(1-2*$A6)))))/(C$3*(2*ACOS(1-2*$A6))/2))^(2.5*SQRT(К1!$H$9)-0.13-0.75*SQRT(((C$3^2/8*((2*ACOS(1-2*$A6))-SIN((2*ACOS(1-2*$A6)))))/(C$3*(2*ACOS(1-2*$A6))/2)))*(SQRT(К1!$H$9)-0.1))/К1!$H$9*SQRT(((C$3^2/8*((2*ACOS(1-2*$A6))-SIN((2*ACOS(1-2*$A6)))))/(C$3*(2*ACOS(1-2*$A6))/2))*C$4)</f>
        <v>0.0328824565219675</v>
      </c>
      <c r="D6" s="17" t="n">
        <f aca="false">1000*(D$3^2/8*((2*ACOS(1-2*$A6))-SIN((2*ACOS(1-2*$A6)))))*((D$3^2/8*((2*ACOS(1-2*$A6))-SIN((2*ACOS(1-2*$A6)))))/(D$3*(2*ACOS(1-2*$A6))/2))^(2.5*SQRT(К1!$H$9)-0.13-0.75*SQRT(((D$3^2/8*((2*ACOS(1-2*$A6))-SIN((2*ACOS(1-2*$A6)))))/(D$3*(2*ACOS(1-2*$A6))/2)))*(SQRT(К1!$H$9)-0.1))/К1!$H$9*SQRT(((D$3^2/8*((2*ACOS(1-2*$A6))-SIN((2*ACOS(1-2*$A6)))))/(D$3*(2*ACOS(1-2*$A6))/2))*D$4)</f>
        <v>0.0613321556224222</v>
      </c>
      <c r="E6" s="17" t="n">
        <f aca="false">1000*(E$3^2/8*((2*ACOS(1-2*$A6))-SIN((2*ACOS(1-2*$A6)))))*((E$3^2/8*((2*ACOS(1-2*$A6))-SIN((2*ACOS(1-2*$A6)))))/(E$3*(2*ACOS(1-2*$A6))/2))^(2.5*SQRT(К1!$H$9)-0.13-0.75*SQRT(((E$3^2/8*((2*ACOS(1-2*$A6))-SIN((2*ACOS(1-2*$A6)))))/(E$3*(2*ACOS(1-2*$A6))/2)))*(SQRT(К1!$H$9)-0.1))/К1!$H$9*SQRT(((E$3^2/8*((2*ACOS(1-2*$A6))-SIN((2*ACOS(1-2*$A6)))))/(E$3*(2*ACOS(1-2*$A6))/2))*E$4)</f>
        <v>0.0613321556224222</v>
      </c>
      <c r="F6" s="17" t="n">
        <f aca="false">1000*(F$3^2/8*((2*ACOS(1-2*$A6))-SIN((2*ACOS(1-2*$A6)))))*((F$3^2/8*((2*ACOS(1-2*$A6))-SIN((2*ACOS(1-2*$A6)))))/(F$3*(2*ACOS(1-2*$A6))/2))^(2.5*SQRT(К1!$H$9)-0.13-0.75*SQRT(((F$3^2/8*((2*ACOS(1-2*$A6))-SIN((2*ACOS(1-2*$A6)))))/(F$3*(2*ACOS(1-2*$A6))/2)))*(SQRT(К1!$H$9)-0.1))/К1!$H$9*SQRT(((F$3^2/8*((2*ACOS(1-2*$A6))-SIN((2*ACOS(1-2*$A6)))))/(F$3*(2*ACOS(1-2*$A6))/2))*F$4)</f>
        <v>0.0613321556224222</v>
      </c>
    </row>
    <row r="7" customFormat="false" ht="15" hidden="false" customHeight="false" outlineLevel="0" collapsed="false">
      <c r="A7" s="16" t="n">
        <v>0.06</v>
      </c>
      <c r="B7" s="17" t="n">
        <f aca="false">1000*(B$3^2/8*((2*ACOS(1-2*$A7))-SIN((2*ACOS(1-2*$A7)))))*((B$3^2/8*((2*ACOS(1-2*$A7))-SIN((2*ACOS(1-2*$A7)))))/(B$3*(2*ACOS(1-2*$A7))/2))^(2.5*SQRT(К1!$H$9)-0.13-0.75*SQRT(((B$3^2/8*((2*ACOS(1-2*$A7))-SIN((2*ACOS(1-2*$A7)))))/(B$3*(2*ACOS(1-2*$A7))/2)))*(SQRT(К1!$H$9)-0.1))/К1!$H$9*SQRT(((B$3^2/8*((2*ACOS(1-2*$A7))-SIN((2*ACOS(1-2*$A7)))))/(B$3*(2*ACOS(1-2*$A7))/2))*B$4)</f>
        <v>0.0485082939164835</v>
      </c>
      <c r="C7" s="17" t="n">
        <f aca="false">1000*(C$3^2/8*((2*ACOS(1-2*$A7))-SIN((2*ACOS(1-2*$A7)))))*((C$3^2/8*((2*ACOS(1-2*$A7))-SIN((2*ACOS(1-2*$A7)))))/(C$3*(2*ACOS(1-2*$A7))/2))^(2.5*SQRT(К1!$H$9)-0.13-0.75*SQRT(((C$3^2/8*((2*ACOS(1-2*$A7))-SIN((2*ACOS(1-2*$A7)))))/(C$3*(2*ACOS(1-2*$A7))/2)))*(SQRT(К1!$H$9)-0.1))/К1!$H$9*SQRT(((C$3^2/8*((2*ACOS(1-2*$A7))-SIN((2*ACOS(1-2*$A7)))))/(C$3*(2*ACOS(1-2*$A7))/2))*C$4)</f>
        <v>0.0485082939164835</v>
      </c>
      <c r="D7" s="17" t="n">
        <f aca="false">1000*(D$3^2/8*((2*ACOS(1-2*$A7))-SIN((2*ACOS(1-2*$A7)))))*((D$3^2/8*((2*ACOS(1-2*$A7))-SIN((2*ACOS(1-2*$A7)))))/(D$3*(2*ACOS(1-2*$A7))/2))^(2.5*SQRT(К1!$H$9)-0.13-0.75*SQRT(((D$3^2/8*((2*ACOS(1-2*$A7))-SIN((2*ACOS(1-2*$A7)))))/(D$3*(2*ACOS(1-2*$A7))/2)))*(SQRT(К1!$H$9)-0.1))/К1!$H$9*SQRT(((D$3^2/8*((2*ACOS(1-2*$A7))-SIN((2*ACOS(1-2*$A7)))))/(D$3*(2*ACOS(1-2*$A7))/2))*D$4)</f>
        <v>0.0904794836827341</v>
      </c>
      <c r="E7" s="17" t="n">
        <f aca="false">1000*(E$3^2/8*((2*ACOS(1-2*$A7))-SIN((2*ACOS(1-2*$A7)))))*((E$3^2/8*((2*ACOS(1-2*$A7))-SIN((2*ACOS(1-2*$A7)))))/(E$3*(2*ACOS(1-2*$A7))/2))^(2.5*SQRT(К1!$H$9)-0.13-0.75*SQRT(((E$3^2/8*((2*ACOS(1-2*$A7))-SIN((2*ACOS(1-2*$A7)))))/(E$3*(2*ACOS(1-2*$A7))/2)))*(SQRT(К1!$H$9)-0.1))/К1!$H$9*SQRT(((E$3^2/8*((2*ACOS(1-2*$A7))-SIN((2*ACOS(1-2*$A7)))))/(E$3*(2*ACOS(1-2*$A7))/2))*E$4)</f>
        <v>0.0904794836827341</v>
      </c>
      <c r="F7" s="17" t="n">
        <f aca="false">1000*(F$3^2/8*((2*ACOS(1-2*$A7))-SIN((2*ACOS(1-2*$A7)))))*((F$3^2/8*((2*ACOS(1-2*$A7))-SIN((2*ACOS(1-2*$A7)))))/(F$3*(2*ACOS(1-2*$A7))/2))^(2.5*SQRT(К1!$H$9)-0.13-0.75*SQRT(((F$3^2/8*((2*ACOS(1-2*$A7))-SIN((2*ACOS(1-2*$A7)))))/(F$3*(2*ACOS(1-2*$A7))/2)))*(SQRT(К1!$H$9)-0.1))/К1!$H$9*SQRT(((F$3^2/8*((2*ACOS(1-2*$A7))-SIN((2*ACOS(1-2*$A7)))))/(F$3*(2*ACOS(1-2*$A7))/2))*F$4)</f>
        <v>0.0904794836827341</v>
      </c>
    </row>
    <row r="8" customFormat="false" ht="15" hidden="false" customHeight="false" outlineLevel="0" collapsed="false">
      <c r="A8" s="16" t="n">
        <v>0.07</v>
      </c>
      <c r="B8" s="17" t="n">
        <f aca="false">1000*(B$3^2/8*((2*ACOS(1-2*$A8))-SIN((2*ACOS(1-2*$A8)))))*((B$3^2/8*((2*ACOS(1-2*$A8))-SIN((2*ACOS(1-2*$A8)))))/(B$3*(2*ACOS(1-2*$A8))/2))^(2.5*SQRT(К1!$H$9)-0.13-0.75*SQRT(((B$3^2/8*((2*ACOS(1-2*$A8))-SIN((2*ACOS(1-2*$A8)))))/(B$3*(2*ACOS(1-2*$A8))/2)))*(SQRT(К1!$H$9)-0.1))/К1!$H$9*SQRT(((B$3^2/8*((2*ACOS(1-2*$A8))-SIN((2*ACOS(1-2*$A8)))))/(B$3*(2*ACOS(1-2*$A8))/2))*B$4)</f>
        <v>0.0673187600186404</v>
      </c>
      <c r="C8" s="17" t="n">
        <f aca="false">1000*(C$3^2/8*((2*ACOS(1-2*$A8))-SIN((2*ACOS(1-2*$A8)))))*((C$3^2/8*((2*ACOS(1-2*$A8))-SIN((2*ACOS(1-2*$A8)))))/(C$3*(2*ACOS(1-2*$A8))/2))^(2.5*SQRT(К1!$H$9)-0.13-0.75*SQRT(((C$3^2/8*((2*ACOS(1-2*$A8))-SIN((2*ACOS(1-2*$A8)))))/(C$3*(2*ACOS(1-2*$A8))/2)))*(SQRT(К1!$H$9)-0.1))/К1!$H$9*SQRT(((C$3^2/8*((2*ACOS(1-2*$A8))-SIN((2*ACOS(1-2*$A8)))))/(C$3*(2*ACOS(1-2*$A8))/2))*C$4)</f>
        <v>0.0673187600186404</v>
      </c>
      <c r="D8" s="17" t="n">
        <f aca="false">1000*(D$3^2/8*((2*ACOS(1-2*$A8))-SIN((2*ACOS(1-2*$A8)))))*((D$3^2/8*((2*ACOS(1-2*$A8))-SIN((2*ACOS(1-2*$A8)))))/(D$3*(2*ACOS(1-2*$A8))/2))^(2.5*SQRT(К1!$H$9)-0.13-0.75*SQRT(((D$3^2/8*((2*ACOS(1-2*$A8))-SIN((2*ACOS(1-2*$A8)))))/(D$3*(2*ACOS(1-2*$A8))/2)))*(SQRT(К1!$H$9)-0.1))/К1!$H$9*SQRT(((D$3^2/8*((2*ACOS(1-2*$A8))-SIN((2*ACOS(1-2*$A8)))))/(D$3*(2*ACOS(1-2*$A8))/2))*D$4)</f>
        <v>0.125567838217621</v>
      </c>
      <c r="E8" s="17" t="n">
        <f aca="false">1000*(E$3^2/8*((2*ACOS(1-2*$A8))-SIN((2*ACOS(1-2*$A8)))))*((E$3^2/8*((2*ACOS(1-2*$A8))-SIN((2*ACOS(1-2*$A8)))))/(E$3*(2*ACOS(1-2*$A8))/2))^(2.5*SQRT(К1!$H$9)-0.13-0.75*SQRT(((E$3^2/8*((2*ACOS(1-2*$A8))-SIN((2*ACOS(1-2*$A8)))))/(E$3*(2*ACOS(1-2*$A8))/2)))*(SQRT(К1!$H$9)-0.1))/К1!$H$9*SQRT(((E$3^2/8*((2*ACOS(1-2*$A8))-SIN((2*ACOS(1-2*$A8)))))/(E$3*(2*ACOS(1-2*$A8))/2))*E$4)</f>
        <v>0.125567838217621</v>
      </c>
      <c r="F8" s="17" t="n">
        <f aca="false">1000*(F$3^2/8*((2*ACOS(1-2*$A8))-SIN((2*ACOS(1-2*$A8)))))*((F$3^2/8*((2*ACOS(1-2*$A8))-SIN((2*ACOS(1-2*$A8)))))/(F$3*(2*ACOS(1-2*$A8))/2))^(2.5*SQRT(К1!$H$9)-0.13-0.75*SQRT(((F$3^2/8*((2*ACOS(1-2*$A8))-SIN((2*ACOS(1-2*$A8)))))/(F$3*(2*ACOS(1-2*$A8))/2)))*(SQRT(К1!$H$9)-0.1))/К1!$H$9*SQRT(((F$3^2/8*((2*ACOS(1-2*$A8))-SIN((2*ACOS(1-2*$A8)))))/(F$3*(2*ACOS(1-2*$A8))/2))*F$4)</f>
        <v>0.125567838217621</v>
      </c>
    </row>
    <row r="9" customFormat="false" ht="15" hidden="false" customHeight="false" outlineLevel="0" collapsed="false">
      <c r="A9" s="16" t="n">
        <v>0.08</v>
      </c>
      <c r="B9" s="17" t="n">
        <f aca="false">1000*(B$3^2/8*((2*ACOS(1-2*$A9))-SIN((2*ACOS(1-2*$A9)))))*((B$3^2/8*((2*ACOS(1-2*$A9))-SIN((2*ACOS(1-2*$A9)))))/(B$3*(2*ACOS(1-2*$A9))/2))^(2.5*SQRT(К1!$H$9)-0.13-0.75*SQRT(((B$3^2/8*((2*ACOS(1-2*$A9))-SIN((2*ACOS(1-2*$A9)))))/(B$3*(2*ACOS(1-2*$A9))/2)))*(SQRT(К1!$H$9)-0.1))/К1!$H$9*SQRT(((B$3^2/8*((2*ACOS(1-2*$A9))-SIN((2*ACOS(1-2*$A9)))))/(B$3*(2*ACOS(1-2*$A9))/2))*B$4)</f>
        <v>0.0893368577807674</v>
      </c>
      <c r="C9" s="17" t="n">
        <f aca="false">1000*(C$3^2/8*((2*ACOS(1-2*$A9))-SIN((2*ACOS(1-2*$A9)))))*((C$3^2/8*((2*ACOS(1-2*$A9))-SIN((2*ACOS(1-2*$A9)))))/(C$3*(2*ACOS(1-2*$A9))/2))^(2.5*SQRT(К1!$H$9)-0.13-0.75*SQRT(((C$3^2/8*((2*ACOS(1-2*$A9))-SIN((2*ACOS(1-2*$A9)))))/(C$3*(2*ACOS(1-2*$A9))/2)))*(SQRT(К1!$H$9)-0.1))/К1!$H$9*SQRT(((C$3^2/8*((2*ACOS(1-2*$A9))-SIN((2*ACOS(1-2*$A9)))))/(C$3*(2*ACOS(1-2*$A9))/2))*C$4)</f>
        <v>0.0893368577807674</v>
      </c>
      <c r="D9" s="17" t="n">
        <f aca="false">1000*(D$3^2/8*((2*ACOS(1-2*$A9))-SIN((2*ACOS(1-2*$A9)))))*((D$3^2/8*((2*ACOS(1-2*$A9))-SIN((2*ACOS(1-2*$A9)))))/(D$3*(2*ACOS(1-2*$A9))/2))^(2.5*SQRT(К1!$H$9)-0.13-0.75*SQRT(((D$3^2/8*((2*ACOS(1-2*$A9))-SIN((2*ACOS(1-2*$A9)))))/(D$3*(2*ACOS(1-2*$A9))/2)))*(SQRT(К1!$H$9)-0.1))/К1!$H$9*SQRT(((D$3^2/8*((2*ACOS(1-2*$A9))-SIN((2*ACOS(1-2*$A9)))))/(D$3*(2*ACOS(1-2*$A9))/2))*D$4)</f>
        <v>0.166640178598148</v>
      </c>
      <c r="E9" s="17" t="n">
        <f aca="false">1000*(E$3^2/8*((2*ACOS(1-2*$A9))-SIN((2*ACOS(1-2*$A9)))))*((E$3^2/8*((2*ACOS(1-2*$A9))-SIN((2*ACOS(1-2*$A9)))))/(E$3*(2*ACOS(1-2*$A9))/2))^(2.5*SQRT(К1!$H$9)-0.13-0.75*SQRT(((E$3^2/8*((2*ACOS(1-2*$A9))-SIN((2*ACOS(1-2*$A9)))))/(E$3*(2*ACOS(1-2*$A9))/2)))*(SQRT(К1!$H$9)-0.1))/К1!$H$9*SQRT(((E$3^2/8*((2*ACOS(1-2*$A9))-SIN((2*ACOS(1-2*$A9)))))/(E$3*(2*ACOS(1-2*$A9))/2))*E$4)</f>
        <v>0.166640178598148</v>
      </c>
      <c r="F9" s="17" t="n">
        <f aca="false">1000*(F$3^2/8*((2*ACOS(1-2*$A9))-SIN((2*ACOS(1-2*$A9)))))*((F$3^2/8*((2*ACOS(1-2*$A9))-SIN((2*ACOS(1-2*$A9)))))/(F$3*(2*ACOS(1-2*$A9))/2))^(2.5*SQRT(К1!$H$9)-0.13-0.75*SQRT(((F$3^2/8*((2*ACOS(1-2*$A9))-SIN((2*ACOS(1-2*$A9)))))/(F$3*(2*ACOS(1-2*$A9))/2)))*(SQRT(К1!$H$9)-0.1))/К1!$H$9*SQRT(((F$3^2/8*((2*ACOS(1-2*$A9))-SIN((2*ACOS(1-2*$A9)))))/(F$3*(2*ACOS(1-2*$A9))/2))*F$4)</f>
        <v>0.166640178598148</v>
      </c>
    </row>
    <row r="10" customFormat="false" ht="15" hidden="false" customHeight="false" outlineLevel="0" collapsed="false">
      <c r="A10" s="16" t="n">
        <v>0.09</v>
      </c>
      <c r="B10" s="17" t="n">
        <f aca="false">1000*(B$3^2/8*((2*ACOS(1-2*$A10))-SIN((2*ACOS(1-2*$A10)))))*((B$3^2/8*((2*ACOS(1-2*$A10))-SIN((2*ACOS(1-2*$A10)))))/(B$3*(2*ACOS(1-2*$A10))/2))^(2.5*SQRT(К1!$H$9)-0.13-0.75*SQRT(((B$3^2/8*((2*ACOS(1-2*$A10))-SIN((2*ACOS(1-2*$A10)))))/(B$3*(2*ACOS(1-2*$A10))/2)))*(SQRT(К1!$H$9)-0.1))/К1!$H$9*SQRT(((B$3^2/8*((2*ACOS(1-2*$A10))-SIN((2*ACOS(1-2*$A10)))))/(B$3*(2*ACOS(1-2*$A10))/2))*B$4)</f>
        <v>0.114573260586912</v>
      </c>
      <c r="C10" s="17" t="n">
        <f aca="false">1000*(C$3^2/8*((2*ACOS(1-2*$A10))-SIN((2*ACOS(1-2*$A10)))))*((C$3^2/8*((2*ACOS(1-2*$A10))-SIN((2*ACOS(1-2*$A10)))))/(C$3*(2*ACOS(1-2*$A10))/2))^(2.5*SQRT(К1!$H$9)-0.13-0.75*SQRT(((C$3^2/8*((2*ACOS(1-2*$A10))-SIN((2*ACOS(1-2*$A10)))))/(C$3*(2*ACOS(1-2*$A10))/2)))*(SQRT(К1!$H$9)-0.1))/К1!$H$9*SQRT(((C$3^2/8*((2*ACOS(1-2*$A10))-SIN((2*ACOS(1-2*$A10)))))/(C$3*(2*ACOS(1-2*$A10))/2))*C$4)</f>
        <v>0.114573260586912</v>
      </c>
      <c r="D10" s="17" t="n">
        <f aca="false">1000*(D$3^2/8*((2*ACOS(1-2*$A10))-SIN((2*ACOS(1-2*$A10)))))*((D$3^2/8*((2*ACOS(1-2*$A10))-SIN((2*ACOS(1-2*$A10)))))/(D$3*(2*ACOS(1-2*$A10))/2))^(2.5*SQRT(К1!$H$9)-0.13-0.75*SQRT(((D$3^2/8*((2*ACOS(1-2*$A10))-SIN((2*ACOS(1-2*$A10)))))/(D$3*(2*ACOS(1-2*$A10))/2)))*(SQRT(К1!$H$9)-0.1))/К1!$H$9*SQRT(((D$3^2/8*((2*ACOS(1-2*$A10))-SIN((2*ACOS(1-2*$A10)))))/(D$3*(2*ACOS(1-2*$A10))/2))*D$4)</f>
        <v>0.213716439286585</v>
      </c>
      <c r="E10" s="17" t="n">
        <f aca="false">1000*(E$3^2/8*((2*ACOS(1-2*$A10))-SIN((2*ACOS(1-2*$A10)))))*((E$3^2/8*((2*ACOS(1-2*$A10))-SIN((2*ACOS(1-2*$A10)))))/(E$3*(2*ACOS(1-2*$A10))/2))^(2.5*SQRT(К1!$H$9)-0.13-0.75*SQRT(((E$3^2/8*((2*ACOS(1-2*$A10))-SIN((2*ACOS(1-2*$A10)))))/(E$3*(2*ACOS(1-2*$A10))/2)))*(SQRT(К1!$H$9)-0.1))/К1!$H$9*SQRT(((E$3^2/8*((2*ACOS(1-2*$A10))-SIN((2*ACOS(1-2*$A10)))))/(E$3*(2*ACOS(1-2*$A10))/2))*E$4)</f>
        <v>0.213716439286585</v>
      </c>
      <c r="F10" s="17" t="n">
        <f aca="false">1000*(F$3^2/8*((2*ACOS(1-2*$A10))-SIN((2*ACOS(1-2*$A10)))))*((F$3^2/8*((2*ACOS(1-2*$A10))-SIN((2*ACOS(1-2*$A10)))))/(F$3*(2*ACOS(1-2*$A10))/2))^(2.5*SQRT(К1!$H$9)-0.13-0.75*SQRT(((F$3^2/8*((2*ACOS(1-2*$A10))-SIN((2*ACOS(1-2*$A10)))))/(F$3*(2*ACOS(1-2*$A10))/2)))*(SQRT(К1!$H$9)-0.1))/К1!$H$9*SQRT(((F$3^2/8*((2*ACOS(1-2*$A10))-SIN((2*ACOS(1-2*$A10)))))/(F$3*(2*ACOS(1-2*$A10))/2))*F$4)</f>
        <v>0.213716439286585</v>
      </c>
    </row>
    <row r="11" customFormat="false" ht="15" hidden="false" customHeight="false" outlineLevel="0" collapsed="false">
      <c r="A11" s="16" t="n">
        <v>0.1</v>
      </c>
      <c r="B11" s="17" t="n">
        <f aca="false">1000*(B$3^2/8*((2*ACOS(1-2*$A11))-SIN((2*ACOS(1-2*$A11)))))*((B$3^2/8*((2*ACOS(1-2*$A11))-SIN((2*ACOS(1-2*$A11)))))/(B$3*(2*ACOS(1-2*$A11))/2))^(2.5*SQRT(К1!$H$9)-0.13-0.75*SQRT(((B$3^2/8*((2*ACOS(1-2*$A11))-SIN((2*ACOS(1-2*$A11)))))/(B$3*(2*ACOS(1-2*$A11))/2)))*(SQRT(К1!$H$9)-0.1))/К1!$H$9*SQRT(((B$3^2/8*((2*ACOS(1-2*$A11))-SIN((2*ACOS(1-2*$A11)))))/(B$3*(2*ACOS(1-2*$A11))/2))*B$4)</f>
        <v>0.143028803175069</v>
      </c>
      <c r="C11" s="17" t="n">
        <f aca="false">1000*(C$3^2/8*((2*ACOS(1-2*$A11))-SIN((2*ACOS(1-2*$A11)))))*((C$3^2/8*((2*ACOS(1-2*$A11))-SIN((2*ACOS(1-2*$A11)))))/(C$3*(2*ACOS(1-2*$A11))/2))^(2.5*SQRT(К1!$H$9)-0.13-0.75*SQRT(((C$3^2/8*((2*ACOS(1-2*$A11))-SIN((2*ACOS(1-2*$A11)))))/(C$3*(2*ACOS(1-2*$A11))/2)))*(SQRT(К1!$H$9)-0.1))/К1!$H$9*SQRT(((C$3^2/8*((2*ACOS(1-2*$A11))-SIN((2*ACOS(1-2*$A11)))))/(C$3*(2*ACOS(1-2*$A11))/2))*C$4)</f>
        <v>0.143028803175069</v>
      </c>
      <c r="D11" s="17" t="n">
        <f aca="false">1000*(D$3^2/8*((2*ACOS(1-2*$A11))-SIN((2*ACOS(1-2*$A11)))))*((D$3^2/8*((2*ACOS(1-2*$A11))-SIN((2*ACOS(1-2*$A11)))))/(D$3*(2*ACOS(1-2*$A11))/2))^(2.5*SQRT(К1!$H$9)-0.13-0.75*SQRT(((D$3^2/8*((2*ACOS(1-2*$A11))-SIN((2*ACOS(1-2*$A11)))))/(D$3*(2*ACOS(1-2*$A11))/2)))*(SQRT(К1!$H$9)-0.1))/К1!$H$9*SQRT(((D$3^2/8*((2*ACOS(1-2*$A11))-SIN((2*ACOS(1-2*$A11)))))/(D$3*(2*ACOS(1-2*$A11))/2))*D$4)</f>
        <v>0.266798182169266</v>
      </c>
      <c r="E11" s="17" t="n">
        <f aca="false">1000*(E$3^2/8*((2*ACOS(1-2*$A11))-SIN((2*ACOS(1-2*$A11)))))*((E$3^2/8*((2*ACOS(1-2*$A11))-SIN((2*ACOS(1-2*$A11)))))/(E$3*(2*ACOS(1-2*$A11))/2))^(2.5*SQRT(К1!$H$9)-0.13-0.75*SQRT(((E$3^2/8*((2*ACOS(1-2*$A11))-SIN((2*ACOS(1-2*$A11)))))/(E$3*(2*ACOS(1-2*$A11))/2)))*(SQRT(К1!$H$9)-0.1))/К1!$H$9*SQRT(((E$3^2/8*((2*ACOS(1-2*$A11))-SIN((2*ACOS(1-2*$A11)))))/(E$3*(2*ACOS(1-2*$A11))/2))*E$4)</f>
        <v>0.266798182169266</v>
      </c>
      <c r="F11" s="17" t="n">
        <f aca="false">1000*(F$3^2/8*((2*ACOS(1-2*$A11))-SIN((2*ACOS(1-2*$A11)))))*((F$3^2/8*((2*ACOS(1-2*$A11))-SIN((2*ACOS(1-2*$A11)))))/(F$3*(2*ACOS(1-2*$A11))/2))^(2.5*SQRT(К1!$H$9)-0.13-0.75*SQRT(((F$3^2/8*((2*ACOS(1-2*$A11))-SIN((2*ACOS(1-2*$A11)))))/(F$3*(2*ACOS(1-2*$A11))/2)))*(SQRT(К1!$H$9)-0.1))/К1!$H$9*SQRT(((F$3^2/8*((2*ACOS(1-2*$A11))-SIN((2*ACOS(1-2*$A11)))))/(F$3*(2*ACOS(1-2*$A11))/2))*F$4)</f>
        <v>0.266798182169266</v>
      </c>
    </row>
    <row r="12" customFormat="false" ht="15" hidden="false" customHeight="false" outlineLevel="0" collapsed="false">
      <c r="A12" s="16" t="n">
        <v>0.11</v>
      </c>
      <c r="B12" s="17" t="n">
        <f aca="false">1000*(B$3^2/8*((2*ACOS(1-2*$A12))-SIN((2*ACOS(1-2*$A12)))))*((B$3^2/8*((2*ACOS(1-2*$A12))-SIN((2*ACOS(1-2*$A12)))))/(B$3*(2*ACOS(1-2*$A12))/2))^(2.5*SQRT(К1!$H$9)-0.13-0.75*SQRT(((B$3^2/8*((2*ACOS(1-2*$A12))-SIN((2*ACOS(1-2*$A12)))))/(B$3*(2*ACOS(1-2*$A12))/2)))*(SQRT(К1!$H$9)-0.1))/К1!$H$9*SQRT(((B$3^2/8*((2*ACOS(1-2*$A12))-SIN((2*ACOS(1-2*$A12)))))/(B$3*(2*ACOS(1-2*$A12))/2))*B$4)</f>
        <v>0.174696229047849</v>
      </c>
      <c r="C12" s="17" t="n">
        <f aca="false">1000*(C$3^2/8*((2*ACOS(1-2*$A12))-SIN((2*ACOS(1-2*$A12)))))*((C$3^2/8*((2*ACOS(1-2*$A12))-SIN((2*ACOS(1-2*$A12)))))/(C$3*(2*ACOS(1-2*$A12))/2))^(2.5*SQRT(К1!$H$9)-0.13-0.75*SQRT(((C$3^2/8*((2*ACOS(1-2*$A12))-SIN((2*ACOS(1-2*$A12)))))/(C$3*(2*ACOS(1-2*$A12))/2)))*(SQRT(К1!$H$9)-0.1))/К1!$H$9*SQRT(((C$3^2/8*((2*ACOS(1-2*$A12))-SIN((2*ACOS(1-2*$A12)))))/(C$3*(2*ACOS(1-2*$A12))/2))*C$4)</f>
        <v>0.174696229047849</v>
      </c>
      <c r="D12" s="17" t="n">
        <f aca="false">1000*(D$3^2/8*((2*ACOS(1-2*$A12))-SIN((2*ACOS(1-2*$A12)))))*((D$3^2/8*((2*ACOS(1-2*$A12))-SIN((2*ACOS(1-2*$A12)))))/(D$3*(2*ACOS(1-2*$A12))/2))^(2.5*SQRT(К1!$H$9)-0.13-0.75*SQRT(((D$3^2/8*((2*ACOS(1-2*$A12))-SIN((2*ACOS(1-2*$A12)))))/(D$3*(2*ACOS(1-2*$A12))/2)))*(SQRT(К1!$H$9)-0.1))/К1!$H$9*SQRT(((D$3^2/8*((2*ACOS(1-2*$A12))-SIN((2*ACOS(1-2*$A12)))))/(D$3*(2*ACOS(1-2*$A12))/2))*D$4)</f>
        <v>0.325871860442388</v>
      </c>
      <c r="E12" s="17" t="n">
        <f aca="false">1000*(E$3^2/8*((2*ACOS(1-2*$A12))-SIN((2*ACOS(1-2*$A12)))))*((E$3^2/8*((2*ACOS(1-2*$A12))-SIN((2*ACOS(1-2*$A12)))))/(E$3*(2*ACOS(1-2*$A12))/2))^(2.5*SQRT(К1!$H$9)-0.13-0.75*SQRT(((E$3^2/8*((2*ACOS(1-2*$A12))-SIN((2*ACOS(1-2*$A12)))))/(E$3*(2*ACOS(1-2*$A12))/2)))*(SQRT(К1!$H$9)-0.1))/К1!$H$9*SQRT(((E$3^2/8*((2*ACOS(1-2*$A12))-SIN((2*ACOS(1-2*$A12)))))/(E$3*(2*ACOS(1-2*$A12))/2))*E$4)</f>
        <v>0.325871860442388</v>
      </c>
      <c r="F12" s="17" t="n">
        <f aca="false">1000*(F$3^2/8*((2*ACOS(1-2*$A12))-SIN((2*ACOS(1-2*$A12)))))*((F$3^2/8*((2*ACOS(1-2*$A12))-SIN((2*ACOS(1-2*$A12)))))/(F$3*(2*ACOS(1-2*$A12))/2))^(2.5*SQRT(К1!$H$9)-0.13-0.75*SQRT(((F$3^2/8*((2*ACOS(1-2*$A12))-SIN((2*ACOS(1-2*$A12)))))/(F$3*(2*ACOS(1-2*$A12))/2)))*(SQRT(К1!$H$9)-0.1))/К1!$H$9*SQRT(((F$3^2/8*((2*ACOS(1-2*$A12))-SIN((2*ACOS(1-2*$A12)))))/(F$3*(2*ACOS(1-2*$A12))/2))*F$4)</f>
        <v>0.325871860442388</v>
      </c>
    </row>
    <row r="13" customFormat="false" ht="15" hidden="false" customHeight="false" outlineLevel="0" collapsed="false">
      <c r="A13" s="16" t="n">
        <v>0.12</v>
      </c>
      <c r="B13" s="17" t="n">
        <f aca="false">1000*(B$3^2/8*((2*ACOS(1-2*$A13))-SIN((2*ACOS(1-2*$A13)))))*((B$3^2/8*((2*ACOS(1-2*$A13))-SIN((2*ACOS(1-2*$A13)))))/(B$3*(2*ACOS(1-2*$A13))/2))^(2.5*SQRT(К1!$H$9)-0.13-0.75*SQRT(((B$3^2/8*((2*ACOS(1-2*$A13))-SIN((2*ACOS(1-2*$A13)))))/(B$3*(2*ACOS(1-2*$A13))/2)))*(SQRT(К1!$H$9)-0.1))/К1!$H$9*SQRT(((B$3^2/8*((2*ACOS(1-2*$A13))-SIN((2*ACOS(1-2*$A13)))))/(B$3*(2*ACOS(1-2*$A13))/2))*B$4)</f>
        <v>0.209561468763118</v>
      </c>
      <c r="C13" s="17" t="n">
        <f aca="false">1000*(C$3^2/8*((2*ACOS(1-2*$A13))-SIN((2*ACOS(1-2*$A13)))))*((C$3^2/8*((2*ACOS(1-2*$A13))-SIN((2*ACOS(1-2*$A13)))))/(C$3*(2*ACOS(1-2*$A13))/2))^(2.5*SQRT(К1!$H$9)-0.13-0.75*SQRT(((C$3^2/8*((2*ACOS(1-2*$A13))-SIN((2*ACOS(1-2*$A13)))))/(C$3*(2*ACOS(1-2*$A13))/2)))*(SQRT(К1!$H$9)-0.1))/К1!$H$9*SQRT(((C$3^2/8*((2*ACOS(1-2*$A13))-SIN((2*ACOS(1-2*$A13)))))/(C$3*(2*ACOS(1-2*$A13))/2))*C$4)</f>
        <v>0.209561468763118</v>
      </c>
      <c r="D13" s="17" t="n">
        <f aca="false">1000*(D$3^2/8*((2*ACOS(1-2*$A13))-SIN((2*ACOS(1-2*$A13)))))*((D$3^2/8*((2*ACOS(1-2*$A13))-SIN((2*ACOS(1-2*$A13)))))/(D$3*(2*ACOS(1-2*$A13))/2))^(2.5*SQRT(К1!$H$9)-0.13-0.75*SQRT(((D$3^2/8*((2*ACOS(1-2*$A13))-SIN((2*ACOS(1-2*$A13)))))/(D$3*(2*ACOS(1-2*$A13))/2)))*(SQRT(К1!$H$9)-0.1))/К1!$H$9*SQRT(((D$3^2/8*((2*ACOS(1-2*$A13))-SIN((2*ACOS(1-2*$A13)))))/(D$3*(2*ACOS(1-2*$A13))/2))*D$4)</f>
        <v>0.39091120639359</v>
      </c>
      <c r="E13" s="17" t="n">
        <f aca="false">1000*(E$3^2/8*((2*ACOS(1-2*$A13))-SIN((2*ACOS(1-2*$A13)))))*((E$3^2/8*((2*ACOS(1-2*$A13))-SIN((2*ACOS(1-2*$A13)))))/(E$3*(2*ACOS(1-2*$A13))/2))^(2.5*SQRT(К1!$H$9)-0.13-0.75*SQRT(((E$3^2/8*((2*ACOS(1-2*$A13))-SIN((2*ACOS(1-2*$A13)))))/(E$3*(2*ACOS(1-2*$A13))/2)))*(SQRT(К1!$H$9)-0.1))/К1!$H$9*SQRT(((E$3^2/8*((2*ACOS(1-2*$A13))-SIN((2*ACOS(1-2*$A13)))))/(E$3*(2*ACOS(1-2*$A13))/2))*E$4)</f>
        <v>0.39091120639359</v>
      </c>
      <c r="F13" s="17" t="n">
        <f aca="false">1000*(F$3^2/8*((2*ACOS(1-2*$A13))-SIN((2*ACOS(1-2*$A13)))))*((F$3^2/8*((2*ACOS(1-2*$A13))-SIN((2*ACOS(1-2*$A13)))))/(F$3*(2*ACOS(1-2*$A13))/2))^(2.5*SQRT(К1!$H$9)-0.13-0.75*SQRT(((F$3^2/8*((2*ACOS(1-2*$A13))-SIN((2*ACOS(1-2*$A13)))))/(F$3*(2*ACOS(1-2*$A13))/2)))*(SQRT(К1!$H$9)-0.1))/К1!$H$9*SQRT(((F$3^2/8*((2*ACOS(1-2*$A13))-SIN((2*ACOS(1-2*$A13)))))/(F$3*(2*ACOS(1-2*$A13))/2))*F$4)</f>
        <v>0.39091120639359</v>
      </c>
    </row>
    <row r="14" customFormat="false" ht="15" hidden="false" customHeight="false" outlineLevel="0" collapsed="false">
      <c r="A14" s="16" t="n">
        <v>0.13</v>
      </c>
      <c r="B14" s="17" t="n">
        <f aca="false">1000*(B$3^2/8*((2*ACOS(1-2*$A14))-SIN((2*ACOS(1-2*$A14)))))*((B$3^2/8*((2*ACOS(1-2*$A14))-SIN((2*ACOS(1-2*$A14)))))/(B$3*(2*ACOS(1-2*$A14))/2))^(2.5*SQRT(К1!$H$9)-0.13-0.75*SQRT(((B$3^2/8*((2*ACOS(1-2*$A14))-SIN((2*ACOS(1-2*$A14)))))/(B$3*(2*ACOS(1-2*$A14))/2)))*(SQRT(К1!$H$9)-0.1))/К1!$H$9*SQRT(((B$3^2/8*((2*ACOS(1-2*$A14))-SIN((2*ACOS(1-2*$A14)))))/(B$3*(2*ACOS(1-2*$A14))/2))*B$4)</f>
        <v>0.247604606314807</v>
      </c>
      <c r="C14" s="17" t="n">
        <f aca="false">1000*(C$3^2/8*((2*ACOS(1-2*$A14))-SIN((2*ACOS(1-2*$A14)))))*((C$3^2/8*((2*ACOS(1-2*$A14))-SIN((2*ACOS(1-2*$A14)))))/(C$3*(2*ACOS(1-2*$A14))/2))^(2.5*SQRT(К1!$H$9)-0.13-0.75*SQRT(((C$3^2/8*((2*ACOS(1-2*$A14))-SIN((2*ACOS(1-2*$A14)))))/(C$3*(2*ACOS(1-2*$A14))/2)))*(SQRT(К1!$H$9)-0.1))/К1!$H$9*SQRT(((C$3^2/8*((2*ACOS(1-2*$A14))-SIN((2*ACOS(1-2*$A14)))))/(C$3*(2*ACOS(1-2*$A14))/2))*C$4)</f>
        <v>0.247604606314807</v>
      </c>
      <c r="D14" s="17" t="n">
        <f aca="false">1000*(D$3^2/8*((2*ACOS(1-2*$A14))-SIN((2*ACOS(1-2*$A14)))))*((D$3^2/8*((2*ACOS(1-2*$A14))-SIN((2*ACOS(1-2*$A14)))))/(D$3*(2*ACOS(1-2*$A14))/2))^(2.5*SQRT(К1!$H$9)-0.13-0.75*SQRT(((D$3^2/8*((2*ACOS(1-2*$A14))-SIN((2*ACOS(1-2*$A14)))))/(D$3*(2*ACOS(1-2*$A14))/2)))*(SQRT(К1!$H$9)-0.1))/К1!$H$9*SQRT(((D$3^2/8*((2*ACOS(1-2*$A14))-SIN((2*ACOS(1-2*$A14)))))/(D$3*(2*ACOS(1-2*$A14))/2))*D$4)</f>
        <v>0.461879036640549</v>
      </c>
      <c r="E14" s="17" t="n">
        <f aca="false">1000*(E$3^2/8*((2*ACOS(1-2*$A14))-SIN((2*ACOS(1-2*$A14)))))*((E$3^2/8*((2*ACOS(1-2*$A14))-SIN((2*ACOS(1-2*$A14)))))/(E$3*(2*ACOS(1-2*$A14))/2))^(2.5*SQRT(К1!$H$9)-0.13-0.75*SQRT(((E$3^2/8*((2*ACOS(1-2*$A14))-SIN((2*ACOS(1-2*$A14)))))/(E$3*(2*ACOS(1-2*$A14))/2)))*(SQRT(К1!$H$9)-0.1))/К1!$H$9*SQRT(((E$3^2/8*((2*ACOS(1-2*$A14))-SIN((2*ACOS(1-2*$A14)))))/(E$3*(2*ACOS(1-2*$A14))/2))*E$4)</f>
        <v>0.461879036640549</v>
      </c>
      <c r="F14" s="17" t="n">
        <f aca="false">1000*(F$3^2/8*((2*ACOS(1-2*$A14))-SIN((2*ACOS(1-2*$A14)))))*((F$3^2/8*((2*ACOS(1-2*$A14))-SIN((2*ACOS(1-2*$A14)))))/(F$3*(2*ACOS(1-2*$A14))/2))^(2.5*SQRT(К1!$H$9)-0.13-0.75*SQRT(((F$3^2/8*((2*ACOS(1-2*$A14))-SIN((2*ACOS(1-2*$A14)))))/(F$3*(2*ACOS(1-2*$A14))/2)))*(SQRT(К1!$H$9)-0.1))/К1!$H$9*SQRT(((F$3^2/8*((2*ACOS(1-2*$A14))-SIN((2*ACOS(1-2*$A14)))))/(F$3*(2*ACOS(1-2*$A14))/2))*F$4)</f>
        <v>0.461879036640549</v>
      </c>
    </row>
    <row r="15" customFormat="false" ht="15" hidden="false" customHeight="false" outlineLevel="0" collapsed="false">
      <c r="A15" s="16" t="n">
        <v>0.14</v>
      </c>
      <c r="B15" s="17" t="n">
        <f aca="false">1000*(B$3^2/8*((2*ACOS(1-2*$A15))-SIN((2*ACOS(1-2*$A15)))))*((B$3^2/8*((2*ACOS(1-2*$A15))-SIN((2*ACOS(1-2*$A15)))))/(B$3*(2*ACOS(1-2*$A15))/2))^(2.5*SQRT(К1!$H$9)-0.13-0.75*SQRT(((B$3^2/8*((2*ACOS(1-2*$A15))-SIN((2*ACOS(1-2*$A15)))))/(B$3*(2*ACOS(1-2*$A15))/2)))*(SQRT(К1!$H$9)-0.1))/К1!$H$9*SQRT(((B$3^2/8*((2*ACOS(1-2*$A15))-SIN((2*ACOS(1-2*$A15)))))/(B$3*(2*ACOS(1-2*$A15))/2))*B$4)</f>
        <v>0.288800629320166</v>
      </c>
      <c r="C15" s="17" t="n">
        <f aca="false">1000*(C$3^2/8*((2*ACOS(1-2*$A15))-SIN((2*ACOS(1-2*$A15)))))*((C$3^2/8*((2*ACOS(1-2*$A15))-SIN((2*ACOS(1-2*$A15)))))/(C$3*(2*ACOS(1-2*$A15))/2))^(2.5*SQRT(К1!$H$9)-0.13-0.75*SQRT(((C$3^2/8*((2*ACOS(1-2*$A15))-SIN((2*ACOS(1-2*$A15)))))/(C$3*(2*ACOS(1-2*$A15))/2)))*(SQRT(К1!$H$9)-0.1))/К1!$H$9*SQRT(((C$3^2/8*((2*ACOS(1-2*$A15))-SIN((2*ACOS(1-2*$A15)))))/(C$3*(2*ACOS(1-2*$A15))/2))*C$4)</f>
        <v>0.288800629320166</v>
      </c>
      <c r="D15" s="17" t="n">
        <f aca="false">1000*(D$3^2/8*((2*ACOS(1-2*$A15))-SIN((2*ACOS(1-2*$A15)))))*((D$3^2/8*((2*ACOS(1-2*$A15))-SIN((2*ACOS(1-2*$A15)))))/(D$3*(2*ACOS(1-2*$A15))/2))^(2.5*SQRT(К1!$H$9)-0.13-0.75*SQRT(((D$3^2/8*((2*ACOS(1-2*$A15))-SIN((2*ACOS(1-2*$A15)))))/(D$3*(2*ACOS(1-2*$A15))/2)))*(SQRT(К1!$H$9)-0.1))/К1!$H$9*SQRT(((D$3^2/8*((2*ACOS(1-2*$A15))-SIN((2*ACOS(1-2*$A15)))))/(D$3*(2*ACOS(1-2*$A15))/2))*D$4)</f>
        <v>0.538728653569629</v>
      </c>
      <c r="E15" s="17" t="n">
        <f aca="false">1000*(E$3^2/8*((2*ACOS(1-2*$A15))-SIN((2*ACOS(1-2*$A15)))))*((E$3^2/8*((2*ACOS(1-2*$A15))-SIN((2*ACOS(1-2*$A15)))))/(E$3*(2*ACOS(1-2*$A15))/2))^(2.5*SQRT(К1!$H$9)-0.13-0.75*SQRT(((E$3^2/8*((2*ACOS(1-2*$A15))-SIN((2*ACOS(1-2*$A15)))))/(E$3*(2*ACOS(1-2*$A15))/2)))*(SQRT(К1!$H$9)-0.1))/К1!$H$9*SQRT(((E$3^2/8*((2*ACOS(1-2*$A15))-SIN((2*ACOS(1-2*$A15)))))/(E$3*(2*ACOS(1-2*$A15))/2))*E$4)</f>
        <v>0.538728653569629</v>
      </c>
      <c r="F15" s="17" t="n">
        <f aca="false">1000*(F$3^2/8*((2*ACOS(1-2*$A15))-SIN((2*ACOS(1-2*$A15)))))*((F$3^2/8*((2*ACOS(1-2*$A15))-SIN((2*ACOS(1-2*$A15)))))/(F$3*(2*ACOS(1-2*$A15))/2))^(2.5*SQRT(К1!$H$9)-0.13-0.75*SQRT(((F$3^2/8*((2*ACOS(1-2*$A15))-SIN((2*ACOS(1-2*$A15)))))/(F$3*(2*ACOS(1-2*$A15))/2)))*(SQRT(К1!$H$9)-0.1))/К1!$H$9*SQRT(((F$3^2/8*((2*ACOS(1-2*$A15))-SIN((2*ACOS(1-2*$A15)))))/(F$3*(2*ACOS(1-2*$A15))/2))*F$4)</f>
        <v>0.538728653569629</v>
      </c>
    </row>
    <row r="16" customFormat="false" ht="15" hidden="false" customHeight="false" outlineLevel="0" collapsed="false">
      <c r="A16" s="16" t="n">
        <v>0.15</v>
      </c>
      <c r="B16" s="17" t="n">
        <f aca="false">1000*(B$3^2/8*((2*ACOS(1-2*$A16))-SIN((2*ACOS(1-2*$A16)))))*((B$3^2/8*((2*ACOS(1-2*$A16))-SIN((2*ACOS(1-2*$A16)))))/(B$3*(2*ACOS(1-2*$A16))/2))^(2.5*SQRT(К1!$H$9)-0.13-0.75*SQRT(((B$3^2/8*((2*ACOS(1-2*$A16))-SIN((2*ACOS(1-2*$A16)))))/(B$3*(2*ACOS(1-2*$A16))/2)))*(SQRT(К1!$H$9)-0.1))/К1!$H$9*SQRT(((B$3^2/8*((2*ACOS(1-2*$A16))-SIN((2*ACOS(1-2*$A16)))))/(B$3*(2*ACOS(1-2*$A16))/2))*B$4)</f>
        <v>0.333120024186429</v>
      </c>
      <c r="C16" s="17" t="n">
        <f aca="false">1000*(C$3^2/8*((2*ACOS(1-2*$A16))-SIN((2*ACOS(1-2*$A16)))))*((C$3^2/8*((2*ACOS(1-2*$A16))-SIN((2*ACOS(1-2*$A16)))))/(C$3*(2*ACOS(1-2*$A16))/2))^(2.5*SQRT(К1!$H$9)-0.13-0.75*SQRT(((C$3^2/8*((2*ACOS(1-2*$A16))-SIN((2*ACOS(1-2*$A16)))))/(C$3*(2*ACOS(1-2*$A16))/2)))*(SQRT(К1!$H$9)-0.1))/К1!$H$9*SQRT(((C$3^2/8*((2*ACOS(1-2*$A16))-SIN((2*ACOS(1-2*$A16)))))/(C$3*(2*ACOS(1-2*$A16))/2))*C$4)</f>
        <v>0.333120024186429</v>
      </c>
      <c r="D16" s="17" t="n">
        <f aca="false">1000*(D$3^2/8*((2*ACOS(1-2*$A16))-SIN((2*ACOS(1-2*$A16)))))*((D$3^2/8*((2*ACOS(1-2*$A16))-SIN((2*ACOS(1-2*$A16)))))/(D$3*(2*ACOS(1-2*$A16))/2))^(2.5*SQRT(К1!$H$9)-0.13-0.75*SQRT(((D$3^2/8*((2*ACOS(1-2*$A16))-SIN((2*ACOS(1-2*$A16)))))/(D$3*(2*ACOS(1-2*$A16))/2)))*(SQRT(К1!$H$9)-0.1))/К1!$H$9*SQRT(((D$3^2/8*((2*ACOS(1-2*$A16))-SIN((2*ACOS(1-2*$A16)))))/(D$3*(2*ACOS(1-2*$A16))/2))*D$4)</f>
        <v>0.621404957216657</v>
      </c>
      <c r="E16" s="17" t="n">
        <f aca="false">1000*(E$3^2/8*((2*ACOS(1-2*$A16))-SIN((2*ACOS(1-2*$A16)))))*((E$3^2/8*((2*ACOS(1-2*$A16))-SIN((2*ACOS(1-2*$A16)))))/(E$3*(2*ACOS(1-2*$A16))/2))^(2.5*SQRT(К1!$H$9)-0.13-0.75*SQRT(((E$3^2/8*((2*ACOS(1-2*$A16))-SIN((2*ACOS(1-2*$A16)))))/(E$3*(2*ACOS(1-2*$A16))/2)))*(SQRT(К1!$H$9)-0.1))/К1!$H$9*SQRT(((E$3^2/8*((2*ACOS(1-2*$A16))-SIN((2*ACOS(1-2*$A16)))))/(E$3*(2*ACOS(1-2*$A16))/2))*E$4)</f>
        <v>0.621404957216657</v>
      </c>
      <c r="F16" s="17" t="n">
        <f aca="false">1000*(F$3^2/8*((2*ACOS(1-2*$A16))-SIN((2*ACOS(1-2*$A16)))))*((F$3^2/8*((2*ACOS(1-2*$A16))-SIN((2*ACOS(1-2*$A16)))))/(F$3*(2*ACOS(1-2*$A16))/2))^(2.5*SQRT(К1!$H$9)-0.13-0.75*SQRT(((F$3^2/8*((2*ACOS(1-2*$A16))-SIN((2*ACOS(1-2*$A16)))))/(F$3*(2*ACOS(1-2*$A16))/2)))*(SQRT(К1!$H$9)-0.1))/К1!$H$9*SQRT(((F$3^2/8*((2*ACOS(1-2*$A16))-SIN((2*ACOS(1-2*$A16)))))/(F$3*(2*ACOS(1-2*$A16))/2))*F$4)</f>
        <v>0.621404957216657</v>
      </c>
    </row>
    <row r="17" customFormat="false" ht="15" hidden="false" customHeight="false" outlineLevel="0" collapsed="false">
      <c r="A17" s="16" t="n">
        <v>0.16</v>
      </c>
      <c r="B17" s="17" t="n">
        <f aca="false">1000*(B$3^2/8*((2*ACOS(1-2*$A17))-SIN((2*ACOS(1-2*$A17)))))*((B$3^2/8*((2*ACOS(1-2*$A17))-SIN((2*ACOS(1-2*$A17)))))/(B$3*(2*ACOS(1-2*$A17))/2))^(2.5*SQRT(К1!$H$9)-0.13-0.75*SQRT(((B$3^2/8*((2*ACOS(1-2*$A17))-SIN((2*ACOS(1-2*$A17)))))/(B$3*(2*ACOS(1-2*$A17))/2)))*(SQRT(К1!$H$9)-0.1))/К1!$H$9*SQRT(((B$3^2/8*((2*ACOS(1-2*$A17))-SIN((2*ACOS(1-2*$A17)))))/(B$3*(2*ACOS(1-2*$A17))/2))*B$4)</f>
        <v>0.380529256936024</v>
      </c>
      <c r="C17" s="17" t="n">
        <f aca="false">1000*(C$3^2/8*((2*ACOS(1-2*$A17))-SIN((2*ACOS(1-2*$A17)))))*((C$3^2/8*((2*ACOS(1-2*$A17))-SIN((2*ACOS(1-2*$A17)))))/(C$3*(2*ACOS(1-2*$A17))/2))^(2.5*SQRT(К1!$H$9)-0.13-0.75*SQRT(((C$3^2/8*((2*ACOS(1-2*$A17))-SIN((2*ACOS(1-2*$A17)))))/(C$3*(2*ACOS(1-2*$A17))/2)))*(SQRT(К1!$H$9)-0.1))/К1!$H$9*SQRT(((C$3^2/8*((2*ACOS(1-2*$A17))-SIN((2*ACOS(1-2*$A17)))))/(C$3*(2*ACOS(1-2*$A17))/2))*C$4)</f>
        <v>0.380529256936024</v>
      </c>
      <c r="D17" s="17" t="n">
        <f aca="false">1000*(D$3^2/8*((2*ACOS(1-2*$A17))-SIN((2*ACOS(1-2*$A17)))))*((D$3^2/8*((2*ACOS(1-2*$A17))-SIN((2*ACOS(1-2*$A17)))))/(D$3*(2*ACOS(1-2*$A17))/2))^(2.5*SQRT(К1!$H$9)-0.13-0.75*SQRT(((D$3^2/8*((2*ACOS(1-2*$A17))-SIN((2*ACOS(1-2*$A17)))))/(D$3*(2*ACOS(1-2*$A17))/2)))*(SQRT(К1!$H$9)-0.1))/К1!$H$9*SQRT(((D$3^2/8*((2*ACOS(1-2*$A17))-SIN((2*ACOS(1-2*$A17)))))/(D$3*(2*ACOS(1-2*$A17))/2))*D$4)</f>
        <v>0.709845343562913</v>
      </c>
      <c r="E17" s="17" t="n">
        <f aca="false">1000*(E$3^2/8*((2*ACOS(1-2*$A17))-SIN((2*ACOS(1-2*$A17)))))*((E$3^2/8*((2*ACOS(1-2*$A17))-SIN((2*ACOS(1-2*$A17)))))/(E$3*(2*ACOS(1-2*$A17))/2))^(2.5*SQRT(К1!$H$9)-0.13-0.75*SQRT(((E$3^2/8*((2*ACOS(1-2*$A17))-SIN((2*ACOS(1-2*$A17)))))/(E$3*(2*ACOS(1-2*$A17))/2)))*(SQRT(К1!$H$9)-0.1))/К1!$H$9*SQRT(((E$3^2/8*((2*ACOS(1-2*$A17))-SIN((2*ACOS(1-2*$A17)))))/(E$3*(2*ACOS(1-2*$A17))/2))*E$4)</f>
        <v>0.709845343562913</v>
      </c>
      <c r="F17" s="17" t="n">
        <f aca="false">1000*(F$3^2/8*((2*ACOS(1-2*$A17))-SIN((2*ACOS(1-2*$A17)))))*((F$3^2/8*((2*ACOS(1-2*$A17))-SIN((2*ACOS(1-2*$A17)))))/(F$3*(2*ACOS(1-2*$A17))/2))^(2.5*SQRT(К1!$H$9)-0.13-0.75*SQRT(((F$3^2/8*((2*ACOS(1-2*$A17))-SIN((2*ACOS(1-2*$A17)))))/(F$3*(2*ACOS(1-2*$A17))/2)))*(SQRT(К1!$H$9)-0.1))/К1!$H$9*SQRT(((F$3^2/8*((2*ACOS(1-2*$A17))-SIN((2*ACOS(1-2*$A17)))))/(F$3*(2*ACOS(1-2*$A17))/2))*F$4)</f>
        <v>0.709845343562913</v>
      </c>
    </row>
    <row r="18" customFormat="false" ht="15" hidden="false" customHeight="false" outlineLevel="0" collapsed="false">
      <c r="A18" s="16" t="n">
        <v>0.17</v>
      </c>
      <c r="B18" s="17" t="n">
        <f aca="false">1000*(B$3^2/8*((2*ACOS(1-2*$A18))-SIN((2*ACOS(1-2*$A18)))))*((B$3^2/8*((2*ACOS(1-2*$A18))-SIN((2*ACOS(1-2*$A18)))))/(B$3*(2*ACOS(1-2*$A18))/2))^(2.5*SQRT(К1!$H$9)-0.13-0.75*SQRT(((B$3^2/8*((2*ACOS(1-2*$A18))-SIN((2*ACOS(1-2*$A18)))))/(B$3*(2*ACOS(1-2*$A18))/2)))*(SQRT(К1!$H$9)-0.1))/К1!$H$9*SQRT(((B$3^2/8*((2*ACOS(1-2*$A18))-SIN((2*ACOS(1-2*$A18)))))/(B$3*(2*ACOS(1-2*$A18))/2))*B$4)</f>
        <v>0.430991167652044</v>
      </c>
      <c r="C18" s="17" t="n">
        <f aca="false">1000*(C$3^2/8*((2*ACOS(1-2*$A18))-SIN((2*ACOS(1-2*$A18)))))*((C$3^2/8*((2*ACOS(1-2*$A18))-SIN((2*ACOS(1-2*$A18)))))/(C$3*(2*ACOS(1-2*$A18))/2))^(2.5*SQRT(К1!$H$9)-0.13-0.75*SQRT(((C$3^2/8*((2*ACOS(1-2*$A18))-SIN((2*ACOS(1-2*$A18)))))/(C$3*(2*ACOS(1-2*$A18))/2)))*(SQRT(К1!$H$9)-0.1))/К1!$H$9*SQRT(((C$3^2/8*((2*ACOS(1-2*$A18))-SIN((2*ACOS(1-2*$A18)))))/(C$3*(2*ACOS(1-2*$A18))/2))*C$4)</f>
        <v>0.430991167652044</v>
      </c>
      <c r="D18" s="17" t="n">
        <f aca="false">1000*(D$3^2/8*((2*ACOS(1-2*$A18))-SIN((2*ACOS(1-2*$A18)))))*((D$3^2/8*((2*ACOS(1-2*$A18))-SIN((2*ACOS(1-2*$A18)))))/(D$3*(2*ACOS(1-2*$A18))/2))^(2.5*SQRT(К1!$H$9)-0.13-0.75*SQRT(((D$3^2/8*((2*ACOS(1-2*$A18))-SIN((2*ACOS(1-2*$A18)))))/(D$3*(2*ACOS(1-2*$A18))/2)))*(SQRT(К1!$H$9)-0.1))/К1!$H$9*SQRT(((D$3^2/8*((2*ACOS(1-2*$A18))-SIN((2*ACOS(1-2*$A18)))))/(D$3*(2*ACOS(1-2*$A18))/2))*D$4)</f>
        <v>0.803980441470534</v>
      </c>
      <c r="E18" s="17" t="n">
        <f aca="false">1000*(E$3^2/8*((2*ACOS(1-2*$A18))-SIN((2*ACOS(1-2*$A18)))))*((E$3^2/8*((2*ACOS(1-2*$A18))-SIN((2*ACOS(1-2*$A18)))))/(E$3*(2*ACOS(1-2*$A18))/2))^(2.5*SQRT(К1!$H$9)-0.13-0.75*SQRT(((E$3^2/8*((2*ACOS(1-2*$A18))-SIN((2*ACOS(1-2*$A18)))))/(E$3*(2*ACOS(1-2*$A18))/2)))*(SQRT(К1!$H$9)-0.1))/К1!$H$9*SQRT(((E$3^2/8*((2*ACOS(1-2*$A18))-SIN((2*ACOS(1-2*$A18)))))/(E$3*(2*ACOS(1-2*$A18))/2))*E$4)</f>
        <v>0.803980441470534</v>
      </c>
      <c r="F18" s="17" t="n">
        <f aca="false">1000*(F$3^2/8*((2*ACOS(1-2*$A18))-SIN((2*ACOS(1-2*$A18)))))*((F$3^2/8*((2*ACOS(1-2*$A18))-SIN((2*ACOS(1-2*$A18)))))/(F$3*(2*ACOS(1-2*$A18))/2))^(2.5*SQRT(К1!$H$9)-0.13-0.75*SQRT(((F$3^2/8*((2*ACOS(1-2*$A18))-SIN((2*ACOS(1-2*$A18)))))/(F$3*(2*ACOS(1-2*$A18))/2)))*(SQRT(К1!$H$9)-0.1))/К1!$H$9*SQRT(((F$3^2/8*((2*ACOS(1-2*$A18))-SIN((2*ACOS(1-2*$A18)))))/(F$3*(2*ACOS(1-2*$A18))/2))*F$4)</f>
        <v>0.803980441470534</v>
      </c>
    </row>
    <row r="19" customFormat="false" ht="15" hidden="false" customHeight="false" outlineLevel="0" collapsed="false">
      <c r="A19" s="16" t="n">
        <v>0.18</v>
      </c>
      <c r="B19" s="17" t="n">
        <f aca="false">1000*(B$3^2/8*((2*ACOS(1-2*$A19))-SIN((2*ACOS(1-2*$A19)))))*((B$3^2/8*((2*ACOS(1-2*$A19))-SIN((2*ACOS(1-2*$A19)))))/(B$3*(2*ACOS(1-2*$A19))/2))^(2.5*SQRT(К1!$H$9)-0.13-0.75*SQRT(((B$3^2/8*((2*ACOS(1-2*$A19))-SIN((2*ACOS(1-2*$A19)))))/(B$3*(2*ACOS(1-2*$A19))/2)))*(SQRT(К1!$H$9)-0.1))/К1!$H$9*SQRT(((B$3^2/8*((2*ACOS(1-2*$A19))-SIN((2*ACOS(1-2*$A19)))))/(B$3*(2*ACOS(1-2*$A19))/2))*B$4)</f>
        <v>0.484465298310902</v>
      </c>
      <c r="C19" s="17" t="n">
        <f aca="false">1000*(C$3^2/8*((2*ACOS(1-2*$A19))-SIN((2*ACOS(1-2*$A19)))))*((C$3^2/8*((2*ACOS(1-2*$A19))-SIN((2*ACOS(1-2*$A19)))))/(C$3*(2*ACOS(1-2*$A19))/2))^(2.5*SQRT(К1!$H$9)-0.13-0.75*SQRT(((C$3^2/8*((2*ACOS(1-2*$A19))-SIN((2*ACOS(1-2*$A19)))))/(C$3*(2*ACOS(1-2*$A19))/2)))*(SQRT(К1!$H$9)-0.1))/К1!$H$9*SQRT(((C$3^2/8*((2*ACOS(1-2*$A19))-SIN((2*ACOS(1-2*$A19)))))/(C$3*(2*ACOS(1-2*$A19))/2))*C$4)</f>
        <v>0.484465298310902</v>
      </c>
      <c r="D19" s="17" t="n">
        <f aca="false">1000*(D$3^2/8*((2*ACOS(1-2*$A19))-SIN((2*ACOS(1-2*$A19)))))*((D$3^2/8*((2*ACOS(1-2*$A19))-SIN((2*ACOS(1-2*$A19)))))/(D$3*(2*ACOS(1-2*$A19))/2))^(2.5*SQRT(К1!$H$9)-0.13-0.75*SQRT(((D$3^2/8*((2*ACOS(1-2*$A19))-SIN((2*ACOS(1-2*$A19)))))/(D$3*(2*ACOS(1-2*$A19))/2)))*(SQRT(К1!$H$9)-0.1))/К1!$H$9*SQRT(((D$3^2/8*((2*ACOS(1-2*$A19))-SIN((2*ACOS(1-2*$A19)))))/(D$3*(2*ACOS(1-2*$A19))/2))*D$4)</f>
        <v>0.903734725177692</v>
      </c>
      <c r="E19" s="17" t="n">
        <f aca="false">1000*(E$3^2/8*((2*ACOS(1-2*$A19))-SIN((2*ACOS(1-2*$A19)))))*((E$3^2/8*((2*ACOS(1-2*$A19))-SIN((2*ACOS(1-2*$A19)))))/(E$3*(2*ACOS(1-2*$A19))/2))^(2.5*SQRT(К1!$H$9)-0.13-0.75*SQRT(((E$3^2/8*((2*ACOS(1-2*$A19))-SIN((2*ACOS(1-2*$A19)))))/(E$3*(2*ACOS(1-2*$A19))/2)))*(SQRT(К1!$H$9)-0.1))/К1!$H$9*SQRT(((E$3^2/8*((2*ACOS(1-2*$A19))-SIN((2*ACOS(1-2*$A19)))))/(E$3*(2*ACOS(1-2*$A19))/2))*E$4)</f>
        <v>0.903734725177692</v>
      </c>
      <c r="F19" s="17" t="n">
        <f aca="false">1000*(F$3^2/8*((2*ACOS(1-2*$A19))-SIN((2*ACOS(1-2*$A19)))))*((F$3^2/8*((2*ACOS(1-2*$A19))-SIN((2*ACOS(1-2*$A19)))))/(F$3*(2*ACOS(1-2*$A19))/2))^(2.5*SQRT(К1!$H$9)-0.13-0.75*SQRT(((F$3^2/8*((2*ACOS(1-2*$A19))-SIN((2*ACOS(1-2*$A19)))))/(F$3*(2*ACOS(1-2*$A19))/2)))*(SQRT(К1!$H$9)-0.1))/К1!$H$9*SQRT(((F$3^2/8*((2*ACOS(1-2*$A19))-SIN((2*ACOS(1-2*$A19)))))/(F$3*(2*ACOS(1-2*$A19))/2))*F$4)</f>
        <v>0.903734725177692</v>
      </c>
    </row>
    <row r="20" customFormat="false" ht="15" hidden="false" customHeight="false" outlineLevel="0" collapsed="false">
      <c r="A20" s="16" t="n">
        <v>0.19</v>
      </c>
      <c r="B20" s="17" t="n">
        <f aca="false">1000*(B$3^2/8*((2*ACOS(1-2*$A20))-SIN((2*ACOS(1-2*$A20)))))*((B$3^2/8*((2*ACOS(1-2*$A20))-SIN((2*ACOS(1-2*$A20)))))/(B$3*(2*ACOS(1-2*$A20))/2))^(2.5*SQRT(К1!$H$9)-0.13-0.75*SQRT(((B$3^2/8*((2*ACOS(1-2*$A20))-SIN((2*ACOS(1-2*$A20)))))/(B$3*(2*ACOS(1-2*$A20))/2)))*(SQRT(К1!$H$9)-0.1))/К1!$H$9*SQRT(((B$3^2/8*((2*ACOS(1-2*$A20))-SIN((2*ACOS(1-2*$A20)))))/(B$3*(2*ACOS(1-2*$A20))/2))*B$4)</f>
        <v>0.54090816831639</v>
      </c>
      <c r="C20" s="17" t="n">
        <f aca="false">1000*(C$3^2/8*((2*ACOS(1-2*$A20))-SIN((2*ACOS(1-2*$A20)))))*((C$3^2/8*((2*ACOS(1-2*$A20))-SIN((2*ACOS(1-2*$A20)))))/(C$3*(2*ACOS(1-2*$A20))/2))^(2.5*SQRT(К1!$H$9)-0.13-0.75*SQRT(((C$3^2/8*((2*ACOS(1-2*$A20))-SIN((2*ACOS(1-2*$A20)))))/(C$3*(2*ACOS(1-2*$A20))/2)))*(SQRT(К1!$H$9)-0.1))/К1!$H$9*SQRT(((C$3^2/8*((2*ACOS(1-2*$A20))-SIN((2*ACOS(1-2*$A20)))))/(C$3*(2*ACOS(1-2*$A20))/2))*C$4)</f>
        <v>0.54090816831639</v>
      </c>
      <c r="D20" s="17" t="n">
        <f aca="false">1000*(D$3^2/8*((2*ACOS(1-2*$A20))-SIN((2*ACOS(1-2*$A20)))))*((D$3^2/8*((2*ACOS(1-2*$A20))-SIN((2*ACOS(1-2*$A20)))))/(D$3*(2*ACOS(1-2*$A20))/2))^(2.5*SQRT(К1!$H$9)-0.13-0.75*SQRT(((D$3^2/8*((2*ACOS(1-2*$A20))-SIN((2*ACOS(1-2*$A20)))))/(D$3*(2*ACOS(1-2*$A20))/2)))*(SQRT(К1!$H$9)-0.1))/К1!$H$9*SQRT(((D$3^2/8*((2*ACOS(1-2*$A20))-SIN((2*ACOS(1-2*$A20)))))/(D$3*(2*ACOS(1-2*$A20))/2))*D$4)</f>
        <v>1.00902702909048</v>
      </c>
      <c r="E20" s="17" t="n">
        <f aca="false">1000*(E$3^2/8*((2*ACOS(1-2*$A20))-SIN((2*ACOS(1-2*$A20)))))*((E$3^2/8*((2*ACOS(1-2*$A20))-SIN((2*ACOS(1-2*$A20)))))/(E$3*(2*ACOS(1-2*$A20))/2))^(2.5*SQRT(К1!$H$9)-0.13-0.75*SQRT(((E$3^2/8*((2*ACOS(1-2*$A20))-SIN((2*ACOS(1-2*$A20)))))/(E$3*(2*ACOS(1-2*$A20))/2)))*(SQRT(К1!$H$9)-0.1))/К1!$H$9*SQRT(((E$3^2/8*((2*ACOS(1-2*$A20))-SIN((2*ACOS(1-2*$A20)))))/(E$3*(2*ACOS(1-2*$A20))/2))*E$4)</f>
        <v>1.00902702909048</v>
      </c>
      <c r="F20" s="17" t="n">
        <f aca="false">1000*(F$3^2/8*((2*ACOS(1-2*$A20))-SIN((2*ACOS(1-2*$A20)))))*((F$3^2/8*((2*ACOS(1-2*$A20))-SIN((2*ACOS(1-2*$A20)))))/(F$3*(2*ACOS(1-2*$A20))/2))^(2.5*SQRT(К1!$H$9)-0.13-0.75*SQRT(((F$3^2/8*((2*ACOS(1-2*$A20))-SIN((2*ACOS(1-2*$A20)))))/(F$3*(2*ACOS(1-2*$A20))/2)))*(SQRT(К1!$H$9)-0.1))/К1!$H$9*SQRT(((F$3^2/8*((2*ACOS(1-2*$A20))-SIN((2*ACOS(1-2*$A20)))))/(F$3*(2*ACOS(1-2*$A20))/2))*F$4)</f>
        <v>1.00902702909048</v>
      </c>
    </row>
    <row r="21" customFormat="false" ht="15" hidden="false" customHeight="false" outlineLevel="0" collapsed="false">
      <c r="A21" s="16" t="n">
        <v>0.2</v>
      </c>
      <c r="B21" s="17" t="n">
        <f aca="false">1000*(B$3^2/8*((2*ACOS(1-2*$A21))-SIN((2*ACOS(1-2*$A21)))))*((B$3^2/8*((2*ACOS(1-2*$A21))-SIN((2*ACOS(1-2*$A21)))))/(B$3*(2*ACOS(1-2*$A21))/2))^(2.5*SQRT(К1!$H$9)-0.13-0.75*SQRT(((B$3^2/8*((2*ACOS(1-2*$A21))-SIN((2*ACOS(1-2*$A21)))))/(B$3*(2*ACOS(1-2*$A21))/2)))*(SQRT(К1!$H$9)-0.1))/К1!$H$9*SQRT(((B$3^2/8*((2*ACOS(1-2*$A21))-SIN((2*ACOS(1-2*$A21)))))/(B$3*(2*ACOS(1-2*$A21))/2))*B$4)</f>
        <v>0.600273508319339</v>
      </c>
      <c r="C21" s="17" t="n">
        <f aca="false">1000*(C$3^2/8*((2*ACOS(1-2*$A21))-SIN((2*ACOS(1-2*$A21)))))*((C$3^2/8*((2*ACOS(1-2*$A21))-SIN((2*ACOS(1-2*$A21)))))/(C$3*(2*ACOS(1-2*$A21))/2))^(2.5*SQRT(К1!$H$9)-0.13-0.75*SQRT(((C$3^2/8*((2*ACOS(1-2*$A21))-SIN((2*ACOS(1-2*$A21)))))/(C$3*(2*ACOS(1-2*$A21))/2)))*(SQRT(К1!$H$9)-0.1))/К1!$H$9*SQRT(((C$3^2/8*((2*ACOS(1-2*$A21))-SIN((2*ACOS(1-2*$A21)))))/(C$3*(2*ACOS(1-2*$A21))/2))*C$4)</f>
        <v>0.600273508319339</v>
      </c>
      <c r="D21" s="17" t="n">
        <f aca="false">1000*(D$3^2/8*((2*ACOS(1-2*$A21))-SIN((2*ACOS(1-2*$A21)))))*((D$3^2/8*((2*ACOS(1-2*$A21))-SIN((2*ACOS(1-2*$A21)))))/(D$3*(2*ACOS(1-2*$A21))/2))^(2.5*SQRT(К1!$H$9)-0.13-0.75*SQRT(((D$3^2/8*((2*ACOS(1-2*$A21))-SIN((2*ACOS(1-2*$A21)))))/(D$3*(2*ACOS(1-2*$A21))/2)))*(SQRT(К1!$H$9)-0.1))/К1!$H$9*SQRT(((D$3^2/8*((2*ACOS(1-2*$A21))-SIN((2*ACOS(1-2*$A21)))))/(D$3*(2*ACOS(1-2*$A21))/2))*D$4)</f>
        <v>1.1197709846421</v>
      </c>
      <c r="E21" s="17" t="n">
        <f aca="false">1000*(E$3^2/8*((2*ACOS(1-2*$A21))-SIN((2*ACOS(1-2*$A21)))))*((E$3^2/8*((2*ACOS(1-2*$A21))-SIN((2*ACOS(1-2*$A21)))))/(E$3*(2*ACOS(1-2*$A21))/2))^(2.5*SQRT(К1!$H$9)-0.13-0.75*SQRT(((E$3^2/8*((2*ACOS(1-2*$A21))-SIN((2*ACOS(1-2*$A21)))))/(E$3*(2*ACOS(1-2*$A21))/2)))*(SQRT(К1!$H$9)-0.1))/К1!$H$9*SQRT(((E$3^2/8*((2*ACOS(1-2*$A21))-SIN((2*ACOS(1-2*$A21)))))/(E$3*(2*ACOS(1-2*$A21))/2))*E$4)</f>
        <v>1.1197709846421</v>
      </c>
      <c r="F21" s="17" t="n">
        <f aca="false">1000*(F$3^2/8*((2*ACOS(1-2*$A21))-SIN((2*ACOS(1-2*$A21)))))*((F$3^2/8*((2*ACOS(1-2*$A21))-SIN((2*ACOS(1-2*$A21)))))/(F$3*(2*ACOS(1-2*$A21))/2))^(2.5*SQRT(К1!$H$9)-0.13-0.75*SQRT(((F$3^2/8*((2*ACOS(1-2*$A21))-SIN((2*ACOS(1-2*$A21)))))/(F$3*(2*ACOS(1-2*$A21))/2)))*(SQRT(К1!$H$9)-0.1))/К1!$H$9*SQRT(((F$3^2/8*((2*ACOS(1-2*$A21))-SIN((2*ACOS(1-2*$A21)))))/(F$3*(2*ACOS(1-2*$A21))/2))*F$4)</f>
        <v>1.1197709846421</v>
      </c>
    </row>
    <row r="22" customFormat="false" ht="15" hidden="false" customHeight="false" outlineLevel="0" collapsed="false">
      <c r="A22" s="16" t="n">
        <v>0.21</v>
      </c>
      <c r="B22" s="17" t="n">
        <f aca="false">1000*(B$3^2/8*((2*ACOS(1-2*$A22))-SIN((2*ACOS(1-2*$A22)))))*((B$3^2/8*((2*ACOS(1-2*$A22))-SIN((2*ACOS(1-2*$A22)))))/(B$3*(2*ACOS(1-2*$A22))/2))^(2.5*SQRT(К1!$H$9)-0.13-0.75*SQRT(((B$3^2/8*((2*ACOS(1-2*$A22))-SIN((2*ACOS(1-2*$A22)))))/(B$3*(2*ACOS(1-2*$A22))/2)))*(SQRT(К1!$H$9)-0.1))/К1!$H$9*SQRT(((B$3^2/8*((2*ACOS(1-2*$A22))-SIN((2*ACOS(1-2*$A22)))))/(B$3*(2*ACOS(1-2*$A22))/2))*B$4)</f>
        <v>0.662512460293107</v>
      </c>
      <c r="C22" s="17" t="n">
        <f aca="false">1000*(C$3^2/8*((2*ACOS(1-2*$A22))-SIN((2*ACOS(1-2*$A22)))))*((C$3^2/8*((2*ACOS(1-2*$A22))-SIN((2*ACOS(1-2*$A22)))))/(C$3*(2*ACOS(1-2*$A22))/2))^(2.5*SQRT(К1!$H$9)-0.13-0.75*SQRT(((C$3^2/8*((2*ACOS(1-2*$A22))-SIN((2*ACOS(1-2*$A22)))))/(C$3*(2*ACOS(1-2*$A22))/2)))*(SQRT(К1!$H$9)-0.1))/К1!$H$9*SQRT(((C$3^2/8*((2*ACOS(1-2*$A22))-SIN((2*ACOS(1-2*$A22)))))/(C$3*(2*ACOS(1-2*$A22))/2))*C$4)</f>
        <v>0.662512460293107</v>
      </c>
      <c r="D22" s="17" t="n">
        <f aca="false">1000*(D$3^2/8*((2*ACOS(1-2*$A22))-SIN((2*ACOS(1-2*$A22)))))*((D$3^2/8*((2*ACOS(1-2*$A22))-SIN((2*ACOS(1-2*$A22)))))/(D$3*(2*ACOS(1-2*$A22))/2))^(2.5*SQRT(К1!$H$9)-0.13-0.75*SQRT(((D$3^2/8*((2*ACOS(1-2*$A22))-SIN((2*ACOS(1-2*$A22)))))/(D$3*(2*ACOS(1-2*$A22))/2)))*(SQRT(К1!$H$9)-0.1))/К1!$H$9*SQRT(((D$3^2/8*((2*ACOS(1-2*$A22))-SIN((2*ACOS(1-2*$A22)))))/(D$3*(2*ACOS(1-2*$A22))/2))*D$4)</f>
        <v>1.2358753941077</v>
      </c>
      <c r="E22" s="17" t="n">
        <f aca="false">1000*(E$3^2/8*((2*ACOS(1-2*$A22))-SIN((2*ACOS(1-2*$A22)))))*((E$3^2/8*((2*ACOS(1-2*$A22))-SIN((2*ACOS(1-2*$A22)))))/(E$3*(2*ACOS(1-2*$A22))/2))^(2.5*SQRT(К1!$H$9)-0.13-0.75*SQRT(((E$3^2/8*((2*ACOS(1-2*$A22))-SIN((2*ACOS(1-2*$A22)))))/(E$3*(2*ACOS(1-2*$A22))/2)))*(SQRT(К1!$H$9)-0.1))/К1!$H$9*SQRT(((E$3^2/8*((2*ACOS(1-2*$A22))-SIN((2*ACOS(1-2*$A22)))))/(E$3*(2*ACOS(1-2*$A22))/2))*E$4)</f>
        <v>1.2358753941077</v>
      </c>
      <c r="F22" s="17" t="n">
        <f aca="false">1000*(F$3^2/8*((2*ACOS(1-2*$A22))-SIN((2*ACOS(1-2*$A22)))))*((F$3^2/8*((2*ACOS(1-2*$A22))-SIN((2*ACOS(1-2*$A22)))))/(F$3*(2*ACOS(1-2*$A22))/2))^(2.5*SQRT(К1!$H$9)-0.13-0.75*SQRT(((F$3^2/8*((2*ACOS(1-2*$A22))-SIN((2*ACOS(1-2*$A22)))))/(F$3*(2*ACOS(1-2*$A22))/2)))*(SQRT(К1!$H$9)-0.1))/К1!$H$9*SQRT(((F$3^2/8*((2*ACOS(1-2*$A22))-SIN((2*ACOS(1-2*$A22)))))/(F$3*(2*ACOS(1-2*$A22))/2))*F$4)</f>
        <v>1.2358753941077</v>
      </c>
    </row>
    <row r="23" customFormat="false" ht="15" hidden="false" customHeight="false" outlineLevel="0" collapsed="false">
      <c r="A23" s="16" t="n">
        <v>0.22</v>
      </c>
      <c r="B23" s="17" t="n">
        <f aca="false">1000*(B$3^2/8*((2*ACOS(1-2*$A23))-SIN((2*ACOS(1-2*$A23)))))*((B$3^2/8*((2*ACOS(1-2*$A23))-SIN((2*ACOS(1-2*$A23)))))/(B$3*(2*ACOS(1-2*$A23))/2))^(2.5*SQRT(К1!$H$9)-0.13-0.75*SQRT(((B$3^2/8*((2*ACOS(1-2*$A23))-SIN((2*ACOS(1-2*$A23)))))/(B$3*(2*ACOS(1-2*$A23))/2)))*(SQRT(К1!$H$9)-0.1))/К1!$H$9*SQRT(((B$3^2/8*((2*ACOS(1-2*$A23))-SIN((2*ACOS(1-2*$A23)))))/(B$3*(2*ACOS(1-2*$A23))/2))*B$4)</f>
        <v>0.727573749963882</v>
      </c>
      <c r="C23" s="17" t="n">
        <f aca="false">1000*(C$3^2/8*((2*ACOS(1-2*$A23))-SIN((2*ACOS(1-2*$A23)))))*((C$3^2/8*((2*ACOS(1-2*$A23))-SIN((2*ACOS(1-2*$A23)))))/(C$3*(2*ACOS(1-2*$A23))/2))^(2.5*SQRT(К1!$H$9)-0.13-0.75*SQRT(((C$3^2/8*((2*ACOS(1-2*$A23))-SIN((2*ACOS(1-2*$A23)))))/(C$3*(2*ACOS(1-2*$A23))/2)))*(SQRT(К1!$H$9)-0.1))/К1!$H$9*SQRT(((C$3^2/8*((2*ACOS(1-2*$A23))-SIN((2*ACOS(1-2*$A23)))))/(C$3*(2*ACOS(1-2*$A23))/2))*C$4)</f>
        <v>0.727573749963882</v>
      </c>
      <c r="D23" s="17" t="n">
        <f aca="false">1000*(D$3^2/8*((2*ACOS(1-2*$A23))-SIN((2*ACOS(1-2*$A23)))))*((D$3^2/8*((2*ACOS(1-2*$A23))-SIN((2*ACOS(1-2*$A23)))))/(D$3*(2*ACOS(1-2*$A23))/2))^(2.5*SQRT(К1!$H$9)-0.13-0.75*SQRT(((D$3^2/8*((2*ACOS(1-2*$A23))-SIN((2*ACOS(1-2*$A23)))))/(D$3*(2*ACOS(1-2*$A23))/2)))*(SQRT(К1!$H$9)-0.1))/К1!$H$9*SQRT(((D$3^2/8*((2*ACOS(1-2*$A23))-SIN((2*ACOS(1-2*$A23)))))/(D$3*(2*ACOS(1-2*$A23))/2))*D$4)</f>
        <v>1.35724455276818</v>
      </c>
      <c r="E23" s="17" t="n">
        <f aca="false">1000*(E$3^2/8*((2*ACOS(1-2*$A23))-SIN((2*ACOS(1-2*$A23)))))*((E$3^2/8*((2*ACOS(1-2*$A23))-SIN((2*ACOS(1-2*$A23)))))/(E$3*(2*ACOS(1-2*$A23))/2))^(2.5*SQRT(К1!$H$9)-0.13-0.75*SQRT(((E$3^2/8*((2*ACOS(1-2*$A23))-SIN((2*ACOS(1-2*$A23)))))/(E$3*(2*ACOS(1-2*$A23))/2)))*(SQRT(К1!$H$9)-0.1))/К1!$H$9*SQRT(((E$3^2/8*((2*ACOS(1-2*$A23))-SIN((2*ACOS(1-2*$A23)))))/(E$3*(2*ACOS(1-2*$A23))/2))*E$4)</f>
        <v>1.35724455276818</v>
      </c>
      <c r="F23" s="17" t="n">
        <f aca="false">1000*(F$3^2/8*((2*ACOS(1-2*$A23))-SIN((2*ACOS(1-2*$A23)))))*((F$3^2/8*((2*ACOS(1-2*$A23))-SIN((2*ACOS(1-2*$A23)))))/(F$3*(2*ACOS(1-2*$A23))/2))^(2.5*SQRT(К1!$H$9)-0.13-0.75*SQRT(((F$3^2/8*((2*ACOS(1-2*$A23))-SIN((2*ACOS(1-2*$A23)))))/(F$3*(2*ACOS(1-2*$A23))/2)))*(SQRT(К1!$H$9)-0.1))/К1!$H$9*SQRT(((F$3^2/8*((2*ACOS(1-2*$A23))-SIN((2*ACOS(1-2*$A23)))))/(F$3*(2*ACOS(1-2*$A23))/2))*F$4)</f>
        <v>1.35724455276818</v>
      </c>
    </row>
    <row r="24" customFormat="false" ht="15" hidden="false" customHeight="false" outlineLevel="0" collapsed="false">
      <c r="A24" s="16" t="n">
        <v>0.23</v>
      </c>
      <c r="B24" s="17" t="n">
        <f aca="false">1000*(B$3^2/8*((2*ACOS(1-2*$A24))-SIN((2*ACOS(1-2*$A24)))))*((B$3^2/8*((2*ACOS(1-2*$A24))-SIN((2*ACOS(1-2*$A24)))))/(B$3*(2*ACOS(1-2*$A24))/2))^(2.5*SQRT(К1!$H$9)-0.13-0.75*SQRT(((B$3^2/8*((2*ACOS(1-2*$A24))-SIN((2*ACOS(1-2*$A24)))))/(B$3*(2*ACOS(1-2*$A24))/2)))*(SQRT(К1!$H$9)-0.1))/К1!$H$9*SQRT(((B$3^2/8*((2*ACOS(1-2*$A24))-SIN((2*ACOS(1-2*$A24)))))/(B$3*(2*ACOS(1-2*$A24))/2))*B$4)</f>
        <v>0.795403836329608</v>
      </c>
      <c r="C24" s="17" t="n">
        <f aca="false">1000*(C$3^2/8*((2*ACOS(1-2*$A24))-SIN((2*ACOS(1-2*$A24)))))*((C$3^2/8*((2*ACOS(1-2*$A24))-SIN((2*ACOS(1-2*$A24)))))/(C$3*(2*ACOS(1-2*$A24))/2))^(2.5*SQRT(К1!$H$9)-0.13-0.75*SQRT(((C$3^2/8*((2*ACOS(1-2*$A24))-SIN((2*ACOS(1-2*$A24)))))/(C$3*(2*ACOS(1-2*$A24))/2)))*(SQRT(К1!$H$9)-0.1))/К1!$H$9*SQRT(((C$3^2/8*((2*ACOS(1-2*$A24))-SIN((2*ACOS(1-2*$A24)))))/(C$3*(2*ACOS(1-2*$A24))/2))*C$4)</f>
        <v>0.795403836329608</v>
      </c>
      <c r="D24" s="17" t="n">
        <f aca="false">1000*(D$3^2/8*((2*ACOS(1-2*$A24))-SIN((2*ACOS(1-2*$A24)))))*((D$3^2/8*((2*ACOS(1-2*$A24))-SIN((2*ACOS(1-2*$A24)))))/(D$3*(2*ACOS(1-2*$A24))/2))^(2.5*SQRT(К1!$H$9)-0.13-0.75*SQRT(((D$3^2/8*((2*ACOS(1-2*$A24))-SIN((2*ACOS(1-2*$A24)))))/(D$3*(2*ACOS(1-2*$A24))/2)))*(SQRT(К1!$H$9)-0.1))/К1!$H$9*SQRT(((D$3^2/8*((2*ACOS(1-2*$A24))-SIN((2*ACOS(1-2*$A24)))))/(D$3*(2*ACOS(1-2*$A24))/2))*D$4)</f>
        <v>1.48377852826638</v>
      </c>
      <c r="E24" s="17" t="n">
        <f aca="false">1000*(E$3^2/8*((2*ACOS(1-2*$A24))-SIN((2*ACOS(1-2*$A24)))))*((E$3^2/8*((2*ACOS(1-2*$A24))-SIN((2*ACOS(1-2*$A24)))))/(E$3*(2*ACOS(1-2*$A24))/2))^(2.5*SQRT(К1!$H$9)-0.13-0.75*SQRT(((E$3^2/8*((2*ACOS(1-2*$A24))-SIN((2*ACOS(1-2*$A24)))))/(E$3*(2*ACOS(1-2*$A24))/2)))*(SQRT(К1!$H$9)-0.1))/К1!$H$9*SQRT(((E$3^2/8*((2*ACOS(1-2*$A24))-SIN((2*ACOS(1-2*$A24)))))/(E$3*(2*ACOS(1-2*$A24))/2))*E$4)</f>
        <v>1.48377852826638</v>
      </c>
      <c r="F24" s="17" t="n">
        <f aca="false">1000*(F$3^2/8*((2*ACOS(1-2*$A24))-SIN((2*ACOS(1-2*$A24)))))*((F$3^2/8*((2*ACOS(1-2*$A24))-SIN((2*ACOS(1-2*$A24)))))/(F$3*(2*ACOS(1-2*$A24))/2))^(2.5*SQRT(К1!$H$9)-0.13-0.75*SQRT(((F$3^2/8*((2*ACOS(1-2*$A24))-SIN((2*ACOS(1-2*$A24)))))/(F$3*(2*ACOS(1-2*$A24))/2)))*(SQRT(К1!$H$9)-0.1))/К1!$H$9*SQRT(((F$3^2/8*((2*ACOS(1-2*$A24))-SIN((2*ACOS(1-2*$A24)))))/(F$3*(2*ACOS(1-2*$A24))/2))*F$4)</f>
        <v>1.48377852826638</v>
      </c>
    </row>
    <row r="25" customFormat="false" ht="15" hidden="false" customHeight="false" outlineLevel="0" collapsed="false">
      <c r="A25" s="16" t="n">
        <v>0.24</v>
      </c>
      <c r="B25" s="17" t="n">
        <f aca="false">1000*(B$3^2/8*((2*ACOS(1-2*$A25))-SIN((2*ACOS(1-2*$A25)))))*((B$3^2/8*((2*ACOS(1-2*$A25))-SIN((2*ACOS(1-2*$A25)))))/(B$3*(2*ACOS(1-2*$A25))/2))^(2.5*SQRT(К1!$H$9)-0.13-0.75*SQRT(((B$3^2/8*((2*ACOS(1-2*$A25))-SIN((2*ACOS(1-2*$A25)))))/(B$3*(2*ACOS(1-2*$A25))/2)))*(SQRT(К1!$H$9)-0.1))/К1!$H$9*SQRT(((B$3^2/8*((2*ACOS(1-2*$A25))-SIN((2*ACOS(1-2*$A25)))))/(B$3*(2*ACOS(1-2*$A25))/2))*B$4)</f>
        <v>0.865947041988345</v>
      </c>
      <c r="C25" s="17" t="n">
        <f aca="false">1000*(C$3^2/8*((2*ACOS(1-2*$A25))-SIN((2*ACOS(1-2*$A25)))))*((C$3^2/8*((2*ACOS(1-2*$A25))-SIN((2*ACOS(1-2*$A25)))))/(C$3*(2*ACOS(1-2*$A25))/2))^(2.5*SQRT(К1!$H$9)-0.13-0.75*SQRT(((C$3^2/8*((2*ACOS(1-2*$A25))-SIN((2*ACOS(1-2*$A25)))))/(C$3*(2*ACOS(1-2*$A25))/2)))*(SQRT(К1!$H$9)-0.1))/К1!$H$9*SQRT(((C$3^2/8*((2*ACOS(1-2*$A25))-SIN((2*ACOS(1-2*$A25)))))/(C$3*(2*ACOS(1-2*$A25))/2))*C$4)</f>
        <v>0.865947041988345</v>
      </c>
      <c r="D25" s="17" t="n">
        <f aca="false">1000*(D$3^2/8*((2*ACOS(1-2*$A25))-SIN((2*ACOS(1-2*$A25)))))*((D$3^2/8*((2*ACOS(1-2*$A25))-SIN((2*ACOS(1-2*$A25)))))/(D$3*(2*ACOS(1-2*$A25))/2))^(2.5*SQRT(К1!$H$9)-0.13-0.75*SQRT(((D$3^2/8*((2*ACOS(1-2*$A25))-SIN((2*ACOS(1-2*$A25)))))/(D$3*(2*ACOS(1-2*$A25))/2)))*(SQRT(К1!$H$9)-0.1))/К1!$H$9*SQRT(((D$3^2/8*((2*ACOS(1-2*$A25))-SIN((2*ACOS(1-2*$A25)))))/(D$3*(2*ACOS(1-2*$A25))/2))*D$4)</f>
        <v>1.61537340410675</v>
      </c>
      <c r="E25" s="17" t="n">
        <f aca="false">1000*(E$3^2/8*((2*ACOS(1-2*$A25))-SIN((2*ACOS(1-2*$A25)))))*((E$3^2/8*((2*ACOS(1-2*$A25))-SIN((2*ACOS(1-2*$A25)))))/(E$3*(2*ACOS(1-2*$A25))/2))^(2.5*SQRT(К1!$H$9)-0.13-0.75*SQRT(((E$3^2/8*((2*ACOS(1-2*$A25))-SIN((2*ACOS(1-2*$A25)))))/(E$3*(2*ACOS(1-2*$A25))/2)))*(SQRT(К1!$H$9)-0.1))/К1!$H$9*SQRT(((E$3^2/8*((2*ACOS(1-2*$A25))-SIN((2*ACOS(1-2*$A25)))))/(E$3*(2*ACOS(1-2*$A25))/2))*E$4)</f>
        <v>1.61537340410675</v>
      </c>
      <c r="F25" s="17" t="n">
        <f aca="false">1000*(F$3^2/8*((2*ACOS(1-2*$A25))-SIN((2*ACOS(1-2*$A25)))))*((F$3^2/8*((2*ACOS(1-2*$A25))-SIN((2*ACOS(1-2*$A25)))))/(F$3*(2*ACOS(1-2*$A25))/2))^(2.5*SQRT(К1!$H$9)-0.13-0.75*SQRT(((F$3^2/8*((2*ACOS(1-2*$A25))-SIN((2*ACOS(1-2*$A25)))))/(F$3*(2*ACOS(1-2*$A25))/2)))*(SQRT(К1!$H$9)-0.1))/К1!$H$9*SQRT(((F$3^2/8*((2*ACOS(1-2*$A25))-SIN((2*ACOS(1-2*$A25)))))/(F$3*(2*ACOS(1-2*$A25))/2))*F$4)</f>
        <v>1.61537340410675</v>
      </c>
    </row>
    <row r="26" customFormat="false" ht="15" hidden="false" customHeight="false" outlineLevel="0" collapsed="false">
      <c r="A26" s="16" t="n">
        <v>0.25</v>
      </c>
      <c r="B26" s="17" t="n">
        <f aca="false">1000*(B$3^2/8*((2*ACOS(1-2*$A26))-SIN((2*ACOS(1-2*$A26)))))*((B$3^2/8*((2*ACOS(1-2*$A26))-SIN((2*ACOS(1-2*$A26)))))/(B$3*(2*ACOS(1-2*$A26))/2))^(2.5*SQRT(К1!$H$9)-0.13-0.75*SQRT(((B$3^2/8*((2*ACOS(1-2*$A26))-SIN((2*ACOS(1-2*$A26)))))/(B$3*(2*ACOS(1-2*$A26))/2)))*(SQRT(К1!$H$9)-0.1))/К1!$H$9*SQRT(((B$3^2/8*((2*ACOS(1-2*$A26))-SIN((2*ACOS(1-2*$A26)))))/(B$3*(2*ACOS(1-2*$A26))/2))*B$4)</f>
        <v>0.939145667233637</v>
      </c>
      <c r="C26" s="17" t="n">
        <f aca="false">1000*(C$3^2/8*((2*ACOS(1-2*$A26))-SIN((2*ACOS(1-2*$A26)))))*((C$3^2/8*((2*ACOS(1-2*$A26))-SIN((2*ACOS(1-2*$A26)))))/(C$3*(2*ACOS(1-2*$A26))/2))^(2.5*SQRT(К1!$H$9)-0.13-0.75*SQRT(((C$3^2/8*((2*ACOS(1-2*$A26))-SIN((2*ACOS(1-2*$A26)))))/(C$3*(2*ACOS(1-2*$A26))/2)))*(SQRT(К1!$H$9)-0.1))/К1!$H$9*SQRT(((C$3^2/8*((2*ACOS(1-2*$A26))-SIN((2*ACOS(1-2*$A26)))))/(C$3*(2*ACOS(1-2*$A26))/2))*C$4)</f>
        <v>0.939145667233637</v>
      </c>
      <c r="D26" s="17" t="n">
        <f aca="false">1000*(D$3^2/8*((2*ACOS(1-2*$A26))-SIN((2*ACOS(1-2*$A26)))))*((D$3^2/8*((2*ACOS(1-2*$A26))-SIN((2*ACOS(1-2*$A26)))))/(D$3*(2*ACOS(1-2*$A26))/2))^(2.5*SQRT(К1!$H$9)-0.13-0.75*SQRT(((D$3^2/8*((2*ACOS(1-2*$A26))-SIN((2*ACOS(1-2*$A26)))))/(D$3*(2*ACOS(1-2*$A26))/2)))*(SQRT(К1!$H$9)-0.1))/К1!$H$9*SQRT(((D$3^2/8*((2*ACOS(1-2*$A26))-SIN((2*ACOS(1-2*$A26)))))/(D$3*(2*ACOS(1-2*$A26))/2))*D$4)</f>
        <v>1.75192149282406</v>
      </c>
      <c r="E26" s="17" t="n">
        <f aca="false">1000*(E$3^2/8*((2*ACOS(1-2*$A26))-SIN((2*ACOS(1-2*$A26)))))*((E$3^2/8*((2*ACOS(1-2*$A26))-SIN((2*ACOS(1-2*$A26)))))/(E$3*(2*ACOS(1-2*$A26))/2))^(2.5*SQRT(К1!$H$9)-0.13-0.75*SQRT(((E$3^2/8*((2*ACOS(1-2*$A26))-SIN((2*ACOS(1-2*$A26)))))/(E$3*(2*ACOS(1-2*$A26))/2)))*(SQRT(К1!$H$9)-0.1))/К1!$H$9*SQRT(((E$3^2/8*((2*ACOS(1-2*$A26))-SIN((2*ACOS(1-2*$A26)))))/(E$3*(2*ACOS(1-2*$A26))/2))*E$4)</f>
        <v>1.75192149282406</v>
      </c>
      <c r="F26" s="17" t="n">
        <f aca="false">1000*(F$3^2/8*((2*ACOS(1-2*$A26))-SIN((2*ACOS(1-2*$A26)))))*((F$3^2/8*((2*ACOS(1-2*$A26))-SIN((2*ACOS(1-2*$A26)))))/(F$3*(2*ACOS(1-2*$A26))/2))^(2.5*SQRT(К1!$H$9)-0.13-0.75*SQRT(((F$3^2/8*((2*ACOS(1-2*$A26))-SIN((2*ACOS(1-2*$A26)))))/(F$3*(2*ACOS(1-2*$A26))/2)))*(SQRT(К1!$H$9)-0.1))/К1!$H$9*SQRT(((F$3^2/8*((2*ACOS(1-2*$A26))-SIN((2*ACOS(1-2*$A26)))))/(F$3*(2*ACOS(1-2*$A26))/2))*F$4)</f>
        <v>1.75192149282406</v>
      </c>
    </row>
    <row r="27" customFormat="false" ht="15" hidden="false" customHeight="false" outlineLevel="0" collapsed="false">
      <c r="A27" s="16" t="n">
        <v>0.26</v>
      </c>
      <c r="B27" s="17" t="n">
        <f aca="false">1000*(B$3^2/8*((2*ACOS(1-2*$A27))-SIN((2*ACOS(1-2*$A27)))))*((B$3^2/8*((2*ACOS(1-2*$A27))-SIN((2*ACOS(1-2*$A27)))))/(B$3*(2*ACOS(1-2*$A27))/2))^(2.5*SQRT(К1!$H$9)-0.13-0.75*SQRT(((B$3^2/8*((2*ACOS(1-2*$A27))-SIN((2*ACOS(1-2*$A27)))))/(B$3*(2*ACOS(1-2*$A27))/2)))*(SQRT(К1!$H$9)-0.1))/К1!$H$9*SQRT(((B$3^2/8*((2*ACOS(1-2*$A27))-SIN((2*ACOS(1-2*$A27)))))/(B$3*(2*ACOS(1-2*$A27))/2))*B$4)</f>
        <v>1.01494009029125</v>
      </c>
      <c r="C27" s="17" t="n">
        <f aca="false">1000*(C$3^2/8*((2*ACOS(1-2*$A27))-SIN((2*ACOS(1-2*$A27)))))*((C$3^2/8*((2*ACOS(1-2*$A27))-SIN((2*ACOS(1-2*$A27)))))/(C$3*(2*ACOS(1-2*$A27))/2))^(2.5*SQRT(К1!$H$9)-0.13-0.75*SQRT(((C$3^2/8*((2*ACOS(1-2*$A27))-SIN((2*ACOS(1-2*$A27)))))/(C$3*(2*ACOS(1-2*$A27))/2)))*(SQRT(К1!$H$9)-0.1))/К1!$H$9*SQRT(((C$3^2/8*((2*ACOS(1-2*$A27))-SIN((2*ACOS(1-2*$A27)))))/(C$3*(2*ACOS(1-2*$A27))/2))*C$4)</f>
        <v>1.01494009029125</v>
      </c>
      <c r="D27" s="17" t="n">
        <f aca="false">1000*(D$3^2/8*((2*ACOS(1-2*$A27))-SIN((2*ACOS(1-2*$A27)))))*((D$3^2/8*((2*ACOS(1-2*$A27))-SIN((2*ACOS(1-2*$A27)))))/(D$3*(2*ACOS(1-2*$A27))/2))^(2.5*SQRT(К1!$H$9)-0.13-0.75*SQRT(((D$3^2/8*((2*ACOS(1-2*$A27))-SIN((2*ACOS(1-2*$A27)))))/(D$3*(2*ACOS(1-2*$A27))/2)))*(SQRT(К1!$H$9)-0.1))/К1!$H$9*SQRT(((D$3^2/8*((2*ACOS(1-2*$A27))-SIN((2*ACOS(1-2*$A27)))))/(D$3*(2*ACOS(1-2*$A27))/2))*D$4)</f>
        <v>1.89331152325714</v>
      </c>
      <c r="E27" s="17" t="n">
        <f aca="false">1000*(E$3^2/8*((2*ACOS(1-2*$A27))-SIN((2*ACOS(1-2*$A27)))))*((E$3^2/8*((2*ACOS(1-2*$A27))-SIN((2*ACOS(1-2*$A27)))))/(E$3*(2*ACOS(1-2*$A27))/2))^(2.5*SQRT(К1!$H$9)-0.13-0.75*SQRT(((E$3^2/8*((2*ACOS(1-2*$A27))-SIN((2*ACOS(1-2*$A27)))))/(E$3*(2*ACOS(1-2*$A27))/2)))*(SQRT(К1!$H$9)-0.1))/К1!$H$9*SQRT(((E$3^2/8*((2*ACOS(1-2*$A27))-SIN((2*ACOS(1-2*$A27)))))/(E$3*(2*ACOS(1-2*$A27))/2))*E$4)</f>
        <v>1.89331152325714</v>
      </c>
      <c r="F27" s="17" t="n">
        <f aca="false">1000*(F$3^2/8*((2*ACOS(1-2*$A27))-SIN((2*ACOS(1-2*$A27)))))*((F$3^2/8*((2*ACOS(1-2*$A27))-SIN((2*ACOS(1-2*$A27)))))/(F$3*(2*ACOS(1-2*$A27))/2))^(2.5*SQRT(К1!$H$9)-0.13-0.75*SQRT(((F$3^2/8*((2*ACOS(1-2*$A27))-SIN((2*ACOS(1-2*$A27)))))/(F$3*(2*ACOS(1-2*$A27))/2)))*(SQRT(К1!$H$9)-0.1))/К1!$H$9*SQRT(((F$3^2/8*((2*ACOS(1-2*$A27))-SIN((2*ACOS(1-2*$A27)))))/(F$3*(2*ACOS(1-2*$A27))/2))*F$4)</f>
        <v>1.89331152325714</v>
      </c>
    </row>
    <row r="28" customFormat="false" ht="15" hidden="false" customHeight="false" outlineLevel="0" collapsed="false">
      <c r="A28" s="16" t="n">
        <v>0.27</v>
      </c>
      <c r="B28" s="17" t="n">
        <f aca="false">1000*(B$3^2/8*((2*ACOS(1-2*$A28))-SIN((2*ACOS(1-2*$A28)))))*((B$3^2/8*((2*ACOS(1-2*$A28))-SIN((2*ACOS(1-2*$A28)))))/(B$3*(2*ACOS(1-2*$A28))/2))^(2.5*SQRT(К1!$H$9)-0.13-0.75*SQRT(((B$3^2/8*((2*ACOS(1-2*$A28))-SIN((2*ACOS(1-2*$A28)))))/(B$3*(2*ACOS(1-2*$A28))/2)))*(SQRT(К1!$H$9)-0.1))/К1!$H$9*SQRT(((B$3^2/8*((2*ACOS(1-2*$A28))-SIN((2*ACOS(1-2*$A28)))))/(B$3*(2*ACOS(1-2*$A28))/2))*B$4)</f>
        <v>1.09326885562032</v>
      </c>
      <c r="C28" s="17" t="n">
        <f aca="false">1000*(C$3^2/8*((2*ACOS(1-2*$A28))-SIN((2*ACOS(1-2*$A28)))))*((C$3^2/8*((2*ACOS(1-2*$A28))-SIN((2*ACOS(1-2*$A28)))))/(C$3*(2*ACOS(1-2*$A28))/2))^(2.5*SQRT(К1!$H$9)-0.13-0.75*SQRT(((C$3^2/8*((2*ACOS(1-2*$A28))-SIN((2*ACOS(1-2*$A28)))))/(C$3*(2*ACOS(1-2*$A28))/2)))*(SQRT(К1!$H$9)-0.1))/К1!$H$9*SQRT(((C$3^2/8*((2*ACOS(1-2*$A28))-SIN((2*ACOS(1-2*$A28)))))/(C$3*(2*ACOS(1-2*$A28))/2))*C$4)</f>
        <v>1.09326885562032</v>
      </c>
      <c r="D28" s="17" t="n">
        <f aca="false">1000*(D$3^2/8*((2*ACOS(1-2*$A28))-SIN((2*ACOS(1-2*$A28)))))*((D$3^2/8*((2*ACOS(1-2*$A28))-SIN((2*ACOS(1-2*$A28)))))/(D$3*(2*ACOS(1-2*$A28))/2))^(2.5*SQRT(К1!$H$9)-0.13-0.75*SQRT(((D$3^2/8*((2*ACOS(1-2*$A28))-SIN((2*ACOS(1-2*$A28)))))/(D$3*(2*ACOS(1-2*$A28))/2)))*(SQRT(К1!$H$9)-0.1))/К1!$H$9*SQRT(((D$3^2/8*((2*ACOS(1-2*$A28))-SIN((2*ACOS(1-2*$A28)))))/(D$3*(2*ACOS(1-2*$A28))/2))*D$4)</f>
        <v>2.03942880552073</v>
      </c>
      <c r="E28" s="17" t="n">
        <f aca="false">1000*(E$3^2/8*((2*ACOS(1-2*$A28))-SIN((2*ACOS(1-2*$A28)))))*((E$3^2/8*((2*ACOS(1-2*$A28))-SIN((2*ACOS(1-2*$A28)))))/(E$3*(2*ACOS(1-2*$A28))/2))^(2.5*SQRT(К1!$H$9)-0.13-0.75*SQRT(((E$3^2/8*((2*ACOS(1-2*$A28))-SIN((2*ACOS(1-2*$A28)))))/(E$3*(2*ACOS(1-2*$A28))/2)))*(SQRT(К1!$H$9)-0.1))/К1!$H$9*SQRT(((E$3^2/8*((2*ACOS(1-2*$A28))-SIN((2*ACOS(1-2*$A28)))))/(E$3*(2*ACOS(1-2*$A28))/2))*E$4)</f>
        <v>2.03942880552073</v>
      </c>
      <c r="F28" s="17" t="n">
        <f aca="false">1000*(F$3^2/8*((2*ACOS(1-2*$A28))-SIN((2*ACOS(1-2*$A28)))))*((F$3^2/8*((2*ACOS(1-2*$A28))-SIN((2*ACOS(1-2*$A28)))))/(F$3*(2*ACOS(1-2*$A28))/2))^(2.5*SQRT(К1!$H$9)-0.13-0.75*SQRT(((F$3^2/8*((2*ACOS(1-2*$A28))-SIN((2*ACOS(1-2*$A28)))))/(F$3*(2*ACOS(1-2*$A28))/2)))*(SQRT(К1!$H$9)-0.1))/К1!$H$9*SQRT(((F$3^2/8*((2*ACOS(1-2*$A28))-SIN((2*ACOS(1-2*$A28)))))/(F$3*(2*ACOS(1-2*$A28))/2))*F$4)</f>
        <v>2.03942880552073</v>
      </c>
    </row>
    <row r="29" customFormat="false" ht="15" hidden="false" customHeight="false" outlineLevel="0" collapsed="false">
      <c r="A29" s="16" t="n">
        <v>0.28</v>
      </c>
      <c r="B29" s="17" t="n">
        <f aca="false">1000*(B$3^2/8*((2*ACOS(1-2*$A29))-SIN((2*ACOS(1-2*$A29)))))*((B$3^2/8*((2*ACOS(1-2*$A29))-SIN((2*ACOS(1-2*$A29)))))/(B$3*(2*ACOS(1-2*$A29))/2))^(2.5*SQRT(К1!$H$9)-0.13-0.75*SQRT(((B$3^2/8*((2*ACOS(1-2*$A29))-SIN((2*ACOS(1-2*$A29)))))/(B$3*(2*ACOS(1-2*$A29))/2)))*(SQRT(К1!$H$9)-0.1))/К1!$H$9*SQRT(((B$3^2/8*((2*ACOS(1-2*$A29))-SIN((2*ACOS(1-2*$A29)))))/(B$3*(2*ACOS(1-2*$A29))/2))*B$4)</f>
        <v>1.1740687518485</v>
      </c>
      <c r="C29" s="17" t="n">
        <f aca="false">1000*(C$3^2/8*((2*ACOS(1-2*$A29))-SIN((2*ACOS(1-2*$A29)))))*((C$3^2/8*((2*ACOS(1-2*$A29))-SIN((2*ACOS(1-2*$A29)))))/(C$3*(2*ACOS(1-2*$A29))/2))^(2.5*SQRT(К1!$H$9)-0.13-0.75*SQRT(((C$3^2/8*((2*ACOS(1-2*$A29))-SIN((2*ACOS(1-2*$A29)))))/(C$3*(2*ACOS(1-2*$A29))/2)))*(SQRT(К1!$H$9)-0.1))/К1!$H$9*SQRT(((C$3^2/8*((2*ACOS(1-2*$A29))-SIN((2*ACOS(1-2*$A29)))))/(C$3*(2*ACOS(1-2*$A29))/2))*C$4)</f>
        <v>1.1740687518485</v>
      </c>
      <c r="D29" s="17" t="n">
        <f aca="false">1000*(D$3^2/8*((2*ACOS(1-2*$A29))-SIN((2*ACOS(1-2*$A29)))))*((D$3^2/8*((2*ACOS(1-2*$A29))-SIN((2*ACOS(1-2*$A29)))))/(D$3*(2*ACOS(1-2*$A29))/2))^(2.5*SQRT(К1!$H$9)-0.13-0.75*SQRT(((D$3^2/8*((2*ACOS(1-2*$A29))-SIN((2*ACOS(1-2*$A29)))))/(D$3*(2*ACOS(1-2*$A29))/2)))*(SQRT(К1!$H$9)-0.1))/К1!$H$9*SQRT(((D$3^2/8*((2*ACOS(1-2*$A29))-SIN((2*ACOS(1-2*$A29)))))/(D$3*(2*ACOS(1-2*$A29))/2))*D$4)</f>
        <v>2.19015537660787</v>
      </c>
      <c r="E29" s="17" t="n">
        <f aca="false">1000*(E$3^2/8*((2*ACOS(1-2*$A29))-SIN((2*ACOS(1-2*$A29)))))*((E$3^2/8*((2*ACOS(1-2*$A29))-SIN((2*ACOS(1-2*$A29)))))/(E$3*(2*ACOS(1-2*$A29))/2))^(2.5*SQRT(К1!$H$9)-0.13-0.75*SQRT(((E$3^2/8*((2*ACOS(1-2*$A29))-SIN((2*ACOS(1-2*$A29)))))/(E$3*(2*ACOS(1-2*$A29))/2)))*(SQRT(К1!$H$9)-0.1))/К1!$H$9*SQRT(((E$3^2/8*((2*ACOS(1-2*$A29))-SIN((2*ACOS(1-2*$A29)))))/(E$3*(2*ACOS(1-2*$A29))/2))*E$4)</f>
        <v>2.19015537660787</v>
      </c>
      <c r="F29" s="17" t="n">
        <f aca="false">1000*(F$3^2/8*((2*ACOS(1-2*$A29))-SIN((2*ACOS(1-2*$A29)))))*((F$3^2/8*((2*ACOS(1-2*$A29))-SIN((2*ACOS(1-2*$A29)))))/(F$3*(2*ACOS(1-2*$A29))/2))^(2.5*SQRT(К1!$H$9)-0.13-0.75*SQRT(((F$3^2/8*((2*ACOS(1-2*$A29))-SIN((2*ACOS(1-2*$A29)))))/(F$3*(2*ACOS(1-2*$A29))/2)))*(SQRT(К1!$H$9)-0.1))/К1!$H$9*SQRT(((F$3^2/8*((2*ACOS(1-2*$A29))-SIN((2*ACOS(1-2*$A29)))))/(F$3*(2*ACOS(1-2*$A29))/2))*F$4)</f>
        <v>2.19015537660787</v>
      </c>
    </row>
    <row r="30" customFormat="false" ht="15" hidden="false" customHeight="false" outlineLevel="0" collapsed="false">
      <c r="A30" s="16" t="n">
        <v>0.29</v>
      </c>
      <c r="B30" s="17" t="n">
        <f aca="false">1000*(B$3^2/8*((2*ACOS(1-2*$A30))-SIN((2*ACOS(1-2*$A30)))))*((B$3^2/8*((2*ACOS(1-2*$A30))-SIN((2*ACOS(1-2*$A30)))))/(B$3*(2*ACOS(1-2*$A30))/2))^(2.5*SQRT(К1!$H$9)-0.13-0.75*SQRT(((B$3^2/8*((2*ACOS(1-2*$A30))-SIN((2*ACOS(1-2*$A30)))))/(B$3*(2*ACOS(1-2*$A30))/2)))*(SQRT(К1!$H$9)-0.1))/К1!$H$9*SQRT(((B$3^2/8*((2*ACOS(1-2*$A30))-SIN((2*ACOS(1-2*$A30)))))/(B$3*(2*ACOS(1-2*$A30))/2))*B$4)</f>
        <v>1.2572748806307</v>
      </c>
      <c r="C30" s="17" t="n">
        <f aca="false">1000*(C$3^2/8*((2*ACOS(1-2*$A30))-SIN((2*ACOS(1-2*$A30)))))*((C$3^2/8*((2*ACOS(1-2*$A30))-SIN((2*ACOS(1-2*$A30)))))/(C$3*(2*ACOS(1-2*$A30))/2))^(2.5*SQRT(К1!$H$9)-0.13-0.75*SQRT(((C$3^2/8*((2*ACOS(1-2*$A30))-SIN((2*ACOS(1-2*$A30)))))/(C$3*(2*ACOS(1-2*$A30))/2)))*(SQRT(К1!$H$9)-0.1))/К1!$H$9*SQRT(((C$3^2/8*((2*ACOS(1-2*$A30))-SIN((2*ACOS(1-2*$A30)))))/(C$3*(2*ACOS(1-2*$A30))/2))*C$4)</f>
        <v>1.2572748806307</v>
      </c>
      <c r="D30" s="17" t="n">
        <f aca="false">1000*(D$3^2/8*((2*ACOS(1-2*$A30))-SIN((2*ACOS(1-2*$A30)))))*((D$3^2/8*((2*ACOS(1-2*$A30))-SIN((2*ACOS(1-2*$A30)))))/(D$3*(2*ACOS(1-2*$A30))/2))^(2.5*SQRT(К1!$H$9)-0.13-0.75*SQRT(((D$3^2/8*((2*ACOS(1-2*$A30))-SIN((2*ACOS(1-2*$A30)))))/(D$3*(2*ACOS(1-2*$A30))/2)))*(SQRT(К1!$H$9)-0.1))/К1!$H$9*SQRT(((D$3^2/8*((2*ACOS(1-2*$A30))-SIN((2*ACOS(1-2*$A30)))))/(D$3*(2*ACOS(1-2*$A30))/2))*D$4)</f>
        <v>2.34537012903279</v>
      </c>
      <c r="E30" s="17" t="n">
        <f aca="false">1000*(E$3^2/8*((2*ACOS(1-2*$A30))-SIN((2*ACOS(1-2*$A30)))))*((E$3^2/8*((2*ACOS(1-2*$A30))-SIN((2*ACOS(1-2*$A30)))))/(E$3*(2*ACOS(1-2*$A30))/2))^(2.5*SQRT(К1!$H$9)-0.13-0.75*SQRT(((E$3^2/8*((2*ACOS(1-2*$A30))-SIN((2*ACOS(1-2*$A30)))))/(E$3*(2*ACOS(1-2*$A30))/2)))*(SQRT(К1!$H$9)-0.1))/К1!$H$9*SQRT(((E$3^2/8*((2*ACOS(1-2*$A30))-SIN((2*ACOS(1-2*$A30)))))/(E$3*(2*ACOS(1-2*$A30))/2))*E$4)</f>
        <v>2.34537012903279</v>
      </c>
      <c r="F30" s="17" t="n">
        <f aca="false">1000*(F$3^2/8*((2*ACOS(1-2*$A30))-SIN((2*ACOS(1-2*$A30)))))*((F$3^2/8*((2*ACOS(1-2*$A30))-SIN((2*ACOS(1-2*$A30)))))/(F$3*(2*ACOS(1-2*$A30))/2))^(2.5*SQRT(К1!$H$9)-0.13-0.75*SQRT(((F$3^2/8*((2*ACOS(1-2*$A30))-SIN((2*ACOS(1-2*$A30)))))/(F$3*(2*ACOS(1-2*$A30))/2)))*(SQRT(К1!$H$9)-0.1))/К1!$H$9*SQRT(((F$3^2/8*((2*ACOS(1-2*$A30))-SIN((2*ACOS(1-2*$A30)))))/(F$3*(2*ACOS(1-2*$A30))/2))*F$4)</f>
        <v>2.34537012903279</v>
      </c>
    </row>
    <row r="31" customFormat="false" ht="15" hidden="false" customHeight="false" outlineLevel="0" collapsed="false">
      <c r="A31" s="16" t="n">
        <v>0.3</v>
      </c>
      <c r="B31" s="17" t="n">
        <f aca="false">1000*(B$3^2/8*((2*ACOS(1-2*$A31))-SIN((2*ACOS(1-2*$A31)))))*((B$3^2/8*((2*ACOS(1-2*$A31))-SIN((2*ACOS(1-2*$A31)))))/(B$3*(2*ACOS(1-2*$A31))/2))^(2.5*SQRT(К1!$H$9)-0.13-0.75*SQRT(((B$3^2/8*((2*ACOS(1-2*$A31))-SIN((2*ACOS(1-2*$A31)))))/(B$3*(2*ACOS(1-2*$A31))/2)))*(SQRT(К1!$H$9)-0.1))/К1!$H$9*SQRT(((B$3^2/8*((2*ACOS(1-2*$A31))-SIN((2*ACOS(1-2*$A31)))))/(B$3*(2*ACOS(1-2*$A31))/2))*B$4)</f>
        <v>1.34282071749724</v>
      </c>
      <c r="C31" s="17" t="n">
        <f aca="false">1000*(C$3^2/8*((2*ACOS(1-2*$A31))-SIN((2*ACOS(1-2*$A31)))))*((C$3^2/8*((2*ACOS(1-2*$A31))-SIN((2*ACOS(1-2*$A31)))))/(C$3*(2*ACOS(1-2*$A31))/2))^(2.5*SQRT(К1!$H$9)-0.13-0.75*SQRT(((C$3^2/8*((2*ACOS(1-2*$A31))-SIN((2*ACOS(1-2*$A31)))))/(C$3*(2*ACOS(1-2*$A31))/2)))*(SQRT(К1!$H$9)-0.1))/К1!$H$9*SQRT(((C$3^2/8*((2*ACOS(1-2*$A31))-SIN((2*ACOS(1-2*$A31)))))/(C$3*(2*ACOS(1-2*$A31))/2))*C$4)</f>
        <v>1.34282071749724</v>
      </c>
      <c r="D31" s="17" t="n">
        <f aca="false">1000*(D$3^2/8*((2*ACOS(1-2*$A31))-SIN((2*ACOS(1-2*$A31)))))*((D$3^2/8*((2*ACOS(1-2*$A31))-SIN((2*ACOS(1-2*$A31)))))/(D$3*(2*ACOS(1-2*$A31))/2))^(2.5*SQRT(К1!$H$9)-0.13-0.75*SQRT(((D$3^2/8*((2*ACOS(1-2*$A31))-SIN((2*ACOS(1-2*$A31)))))/(D$3*(2*ACOS(1-2*$A31))/2)))*(SQRT(К1!$H$9)-0.1))/К1!$H$9*SQRT(((D$3^2/8*((2*ACOS(1-2*$A31))-SIN((2*ACOS(1-2*$A31)))))/(D$3*(2*ACOS(1-2*$A31))/2))*D$4)</f>
        <v>2.50494892450547</v>
      </c>
      <c r="E31" s="17" t="n">
        <f aca="false">1000*(E$3^2/8*((2*ACOS(1-2*$A31))-SIN((2*ACOS(1-2*$A31)))))*((E$3^2/8*((2*ACOS(1-2*$A31))-SIN((2*ACOS(1-2*$A31)))))/(E$3*(2*ACOS(1-2*$A31))/2))^(2.5*SQRT(К1!$H$9)-0.13-0.75*SQRT(((E$3^2/8*((2*ACOS(1-2*$A31))-SIN((2*ACOS(1-2*$A31)))))/(E$3*(2*ACOS(1-2*$A31))/2)))*(SQRT(К1!$H$9)-0.1))/К1!$H$9*SQRT(((E$3^2/8*((2*ACOS(1-2*$A31))-SIN((2*ACOS(1-2*$A31)))))/(E$3*(2*ACOS(1-2*$A31))/2))*E$4)</f>
        <v>2.50494892450547</v>
      </c>
      <c r="F31" s="17" t="n">
        <f aca="false">1000*(F$3^2/8*((2*ACOS(1-2*$A31))-SIN((2*ACOS(1-2*$A31)))))*((F$3^2/8*((2*ACOS(1-2*$A31))-SIN((2*ACOS(1-2*$A31)))))/(F$3*(2*ACOS(1-2*$A31))/2))^(2.5*SQRT(К1!$H$9)-0.13-0.75*SQRT(((F$3^2/8*((2*ACOS(1-2*$A31))-SIN((2*ACOS(1-2*$A31)))))/(F$3*(2*ACOS(1-2*$A31))/2)))*(SQRT(К1!$H$9)-0.1))/К1!$H$9*SQRT(((F$3^2/8*((2*ACOS(1-2*$A31))-SIN((2*ACOS(1-2*$A31)))))/(F$3*(2*ACOS(1-2*$A31))/2))*F$4)</f>
        <v>2.50494892450547</v>
      </c>
    </row>
    <row r="32" customFormat="false" ht="15" hidden="false" customHeight="false" outlineLevel="0" collapsed="false">
      <c r="A32" s="16" t="n">
        <v>0.31</v>
      </c>
      <c r="B32" s="17" t="n">
        <f aca="false">1000*(B$3^2/8*((2*ACOS(1-2*$A32))-SIN((2*ACOS(1-2*$A32)))))*((B$3^2/8*((2*ACOS(1-2*$A32))-SIN((2*ACOS(1-2*$A32)))))/(B$3*(2*ACOS(1-2*$A32))/2))^(2.5*SQRT(К1!$H$9)-0.13-0.75*SQRT(((B$3^2/8*((2*ACOS(1-2*$A32))-SIN((2*ACOS(1-2*$A32)))))/(B$3*(2*ACOS(1-2*$A32))/2)))*(SQRT(К1!$H$9)-0.1))/К1!$H$9*SQRT(((B$3^2/8*((2*ACOS(1-2*$A32))-SIN((2*ACOS(1-2*$A32)))))/(B$3*(2*ACOS(1-2*$A32))/2))*B$4)</f>
        <v>1.4306381655759</v>
      </c>
      <c r="C32" s="17" t="n">
        <f aca="false">1000*(C$3^2/8*((2*ACOS(1-2*$A32))-SIN((2*ACOS(1-2*$A32)))))*((C$3^2/8*((2*ACOS(1-2*$A32))-SIN((2*ACOS(1-2*$A32)))))/(C$3*(2*ACOS(1-2*$A32))/2))^(2.5*SQRT(К1!$H$9)-0.13-0.75*SQRT(((C$3^2/8*((2*ACOS(1-2*$A32))-SIN((2*ACOS(1-2*$A32)))))/(C$3*(2*ACOS(1-2*$A32))/2)))*(SQRT(К1!$H$9)-0.1))/К1!$H$9*SQRT(((C$3^2/8*((2*ACOS(1-2*$A32))-SIN((2*ACOS(1-2*$A32)))))/(C$3*(2*ACOS(1-2*$A32))/2))*C$4)</f>
        <v>1.4306381655759</v>
      </c>
      <c r="D32" s="17" t="n">
        <f aca="false">1000*(D$3^2/8*((2*ACOS(1-2*$A32))-SIN((2*ACOS(1-2*$A32)))))*((D$3^2/8*((2*ACOS(1-2*$A32))-SIN((2*ACOS(1-2*$A32)))))/(D$3*(2*ACOS(1-2*$A32))/2))^(2.5*SQRT(К1!$H$9)-0.13-0.75*SQRT(((D$3^2/8*((2*ACOS(1-2*$A32))-SIN((2*ACOS(1-2*$A32)))))/(D$3*(2*ACOS(1-2*$A32))/2)))*(SQRT(К1!$H$9)-0.1))/К1!$H$9*SQRT(((D$3^2/8*((2*ACOS(1-2*$A32))-SIN((2*ACOS(1-2*$A32)))))/(D$3*(2*ACOS(1-2*$A32))/2))*D$4)</f>
        <v>2.66876469429105</v>
      </c>
      <c r="E32" s="17" t="n">
        <f aca="false">1000*(E$3^2/8*((2*ACOS(1-2*$A32))-SIN((2*ACOS(1-2*$A32)))))*((E$3^2/8*((2*ACOS(1-2*$A32))-SIN((2*ACOS(1-2*$A32)))))/(E$3*(2*ACOS(1-2*$A32))/2))^(2.5*SQRT(К1!$H$9)-0.13-0.75*SQRT(((E$3^2/8*((2*ACOS(1-2*$A32))-SIN((2*ACOS(1-2*$A32)))))/(E$3*(2*ACOS(1-2*$A32))/2)))*(SQRT(К1!$H$9)-0.1))/К1!$H$9*SQRT(((E$3^2/8*((2*ACOS(1-2*$A32))-SIN((2*ACOS(1-2*$A32)))))/(E$3*(2*ACOS(1-2*$A32))/2))*E$4)</f>
        <v>2.66876469429105</v>
      </c>
      <c r="F32" s="17" t="n">
        <f aca="false">1000*(F$3^2/8*((2*ACOS(1-2*$A32))-SIN((2*ACOS(1-2*$A32)))))*((F$3^2/8*((2*ACOS(1-2*$A32))-SIN((2*ACOS(1-2*$A32)))))/(F$3*(2*ACOS(1-2*$A32))/2))^(2.5*SQRT(К1!$H$9)-0.13-0.75*SQRT(((F$3^2/8*((2*ACOS(1-2*$A32))-SIN((2*ACOS(1-2*$A32)))))/(F$3*(2*ACOS(1-2*$A32))/2)))*(SQRT(К1!$H$9)-0.1))/К1!$H$9*SQRT(((F$3^2/8*((2*ACOS(1-2*$A32))-SIN((2*ACOS(1-2*$A32)))))/(F$3*(2*ACOS(1-2*$A32))/2))*F$4)</f>
        <v>2.66876469429105</v>
      </c>
    </row>
    <row r="33" customFormat="false" ht="15" hidden="false" customHeight="false" outlineLevel="0" collapsed="false">
      <c r="A33" s="16" t="n">
        <v>0.32</v>
      </c>
      <c r="B33" s="17" t="n">
        <f aca="false">1000*(B$3^2/8*((2*ACOS(1-2*$A33))-SIN((2*ACOS(1-2*$A33)))))*((B$3^2/8*((2*ACOS(1-2*$A33))-SIN((2*ACOS(1-2*$A33)))))/(B$3*(2*ACOS(1-2*$A33))/2))^(2.5*SQRT(К1!$H$9)-0.13-0.75*SQRT(((B$3^2/8*((2*ACOS(1-2*$A33))-SIN((2*ACOS(1-2*$A33)))))/(B$3*(2*ACOS(1-2*$A33))/2)))*(SQRT(К1!$H$9)-0.1))/К1!$H$9*SQRT(((B$3^2/8*((2*ACOS(1-2*$A33))-SIN((2*ACOS(1-2*$A33)))))/(B$3*(2*ACOS(1-2*$A33))/2))*B$4)</f>
        <v>1.52065760292482</v>
      </c>
      <c r="C33" s="17" t="n">
        <f aca="false">1000*(C$3^2/8*((2*ACOS(1-2*$A33))-SIN((2*ACOS(1-2*$A33)))))*((C$3^2/8*((2*ACOS(1-2*$A33))-SIN((2*ACOS(1-2*$A33)))))/(C$3*(2*ACOS(1-2*$A33))/2))^(2.5*SQRT(К1!$H$9)-0.13-0.75*SQRT(((C$3^2/8*((2*ACOS(1-2*$A33))-SIN((2*ACOS(1-2*$A33)))))/(C$3*(2*ACOS(1-2*$A33))/2)))*(SQRT(К1!$H$9)-0.1))/К1!$H$9*SQRT(((C$3^2/8*((2*ACOS(1-2*$A33))-SIN((2*ACOS(1-2*$A33)))))/(C$3*(2*ACOS(1-2*$A33))/2))*C$4)</f>
        <v>1.52065760292482</v>
      </c>
      <c r="D33" s="17" t="n">
        <f aca="false">1000*(D$3^2/8*((2*ACOS(1-2*$A33))-SIN((2*ACOS(1-2*$A33)))))*((D$3^2/8*((2*ACOS(1-2*$A33))-SIN((2*ACOS(1-2*$A33)))))/(D$3*(2*ACOS(1-2*$A33))/2))^(2.5*SQRT(К1!$H$9)-0.13-0.75*SQRT(((D$3^2/8*((2*ACOS(1-2*$A33))-SIN((2*ACOS(1-2*$A33)))))/(D$3*(2*ACOS(1-2*$A33))/2)))*(SQRT(К1!$H$9)-0.1))/К1!$H$9*SQRT(((D$3^2/8*((2*ACOS(1-2*$A33))-SIN((2*ACOS(1-2*$A33)))))/(D$3*(2*ACOS(1-2*$A33))/2))*D$4)</f>
        <v>2.83668752763083</v>
      </c>
      <c r="E33" s="17" t="n">
        <f aca="false">1000*(E$3^2/8*((2*ACOS(1-2*$A33))-SIN((2*ACOS(1-2*$A33)))))*((E$3^2/8*((2*ACOS(1-2*$A33))-SIN((2*ACOS(1-2*$A33)))))/(E$3*(2*ACOS(1-2*$A33))/2))^(2.5*SQRT(К1!$H$9)-0.13-0.75*SQRT(((E$3^2/8*((2*ACOS(1-2*$A33))-SIN((2*ACOS(1-2*$A33)))))/(E$3*(2*ACOS(1-2*$A33))/2)))*(SQRT(К1!$H$9)-0.1))/К1!$H$9*SQRT(((E$3^2/8*((2*ACOS(1-2*$A33))-SIN((2*ACOS(1-2*$A33)))))/(E$3*(2*ACOS(1-2*$A33))/2))*E$4)</f>
        <v>2.83668752763083</v>
      </c>
      <c r="F33" s="17" t="n">
        <f aca="false">1000*(F$3^2/8*((2*ACOS(1-2*$A33))-SIN((2*ACOS(1-2*$A33)))))*((F$3^2/8*((2*ACOS(1-2*$A33))-SIN((2*ACOS(1-2*$A33)))))/(F$3*(2*ACOS(1-2*$A33))/2))^(2.5*SQRT(К1!$H$9)-0.13-0.75*SQRT(((F$3^2/8*((2*ACOS(1-2*$A33))-SIN((2*ACOS(1-2*$A33)))))/(F$3*(2*ACOS(1-2*$A33))/2)))*(SQRT(К1!$H$9)-0.1))/К1!$H$9*SQRT(((F$3^2/8*((2*ACOS(1-2*$A33))-SIN((2*ACOS(1-2*$A33)))))/(F$3*(2*ACOS(1-2*$A33))/2))*F$4)</f>
        <v>2.83668752763083</v>
      </c>
    </row>
    <row r="34" customFormat="false" ht="15" hidden="false" customHeight="false" outlineLevel="0" collapsed="false">
      <c r="A34" s="16" t="n">
        <v>0.33</v>
      </c>
      <c r="B34" s="17" t="n">
        <f aca="false">1000*(B$3^2/8*((2*ACOS(1-2*$A34))-SIN((2*ACOS(1-2*$A34)))))*((B$3^2/8*((2*ACOS(1-2*$A34))-SIN((2*ACOS(1-2*$A34)))))/(B$3*(2*ACOS(1-2*$A34))/2))^(2.5*SQRT(К1!$H$9)-0.13-0.75*SQRT(((B$3^2/8*((2*ACOS(1-2*$A34))-SIN((2*ACOS(1-2*$A34)))))/(B$3*(2*ACOS(1-2*$A34))/2)))*(SQRT(К1!$H$9)-0.1))/К1!$H$9*SQRT(((B$3^2/8*((2*ACOS(1-2*$A34))-SIN((2*ACOS(1-2*$A34)))))/(B$3*(2*ACOS(1-2*$A34))/2))*B$4)</f>
        <v>1.61280792409123</v>
      </c>
      <c r="C34" s="17" t="n">
        <f aca="false">1000*(C$3^2/8*((2*ACOS(1-2*$A34))-SIN((2*ACOS(1-2*$A34)))))*((C$3^2/8*((2*ACOS(1-2*$A34))-SIN((2*ACOS(1-2*$A34)))))/(C$3*(2*ACOS(1-2*$A34))/2))^(2.5*SQRT(К1!$H$9)-0.13-0.75*SQRT(((C$3^2/8*((2*ACOS(1-2*$A34))-SIN((2*ACOS(1-2*$A34)))))/(C$3*(2*ACOS(1-2*$A34))/2)))*(SQRT(К1!$H$9)-0.1))/К1!$H$9*SQRT(((C$3^2/8*((2*ACOS(1-2*$A34))-SIN((2*ACOS(1-2*$A34)))))/(C$3*(2*ACOS(1-2*$A34))/2))*C$4)</f>
        <v>1.61280792409123</v>
      </c>
      <c r="D34" s="17" t="n">
        <f aca="false">1000*(D$3^2/8*((2*ACOS(1-2*$A34))-SIN((2*ACOS(1-2*$A34)))))*((D$3^2/8*((2*ACOS(1-2*$A34))-SIN((2*ACOS(1-2*$A34)))))/(D$3*(2*ACOS(1-2*$A34))/2))^(2.5*SQRT(К1!$H$9)-0.13-0.75*SQRT(((D$3^2/8*((2*ACOS(1-2*$A34))-SIN((2*ACOS(1-2*$A34)))))/(D$3*(2*ACOS(1-2*$A34))/2)))*(SQRT(К1!$H$9)-0.1))/К1!$H$9*SQRT(((D$3^2/8*((2*ACOS(1-2*$A34))-SIN((2*ACOS(1-2*$A34)))))/(D$3*(2*ACOS(1-2*$A34))/2))*D$4)</f>
        <v>3.00858474937464</v>
      </c>
      <c r="E34" s="17" t="n">
        <f aca="false">1000*(E$3^2/8*((2*ACOS(1-2*$A34))-SIN((2*ACOS(1-2*$A34)))))*((E$3^2/8*((2*ACOS(1-2*$A34))-SIN((2*ACOS(1-2*$A34)))))/(E$3*(2*ACOS(1-2*$A34))/2))^(2.5*SQRT(К1!$H$9)-0.13-0.75*SQRT(((E$3^2/8*((2*ACOS(1-2*$A34))-SIN((2*ACOS(1-2*$A34)))))/(E$3*(2*ACOS(1-2*$A34))/2)))*(SQRT(К1!$H$9)-0.1))/К1!$H$9*SQRT(((E$3^2/8*((2*ACOS(1-2*$A34))-SIN((2*ACOS(1-2*$A34)))))/(E$3*(2*ACOS(1-2*$A34))/2))*E$4)</f>
        <v>3.00858474937464</v>
      </c>
      <c r="F34" s="17" t="n">
        <f aca="false">1000*(F$3^2/8*((2*ACOS(1-2*$A34))-SIN((2*ACOS(1-2*$A34)))))*((F$3^2/8*((2*ACOS(1-2*$A34))-SIN((2*ACOS(1-2*$A34)))))/(F$3*(2*ACOS(1-2*$A34))/2))^(2.5*SQRT(К1!$H$9)-0.13-0.75*SQRT(((F$3^2/8*((2*ACOS(1-2*$A34))-SIN((2*ACOS(1-2*$A34)))))/(F$3*(2*ACOS(1-2*$A34))/2)))*(SQRT(К1!$H$9)-0.1))/К1!$H$9*SQRT(((F$3^2/8*((2*ACOS(1-2*$A34))-SIN((2*ACOS(1-2*$A34)))))/(F$3*(2*ACOS(1-2*$A34))/2))*F$4)</f>
        <v>3.00858474937464</v>
      </c>
    </row>
    <row r="35" customFormat="false" ht="15" hidden="false" customHeight="false" outlineLevel="0" collapsed="false">
      <c r="A35" s="16" t="n">
        <v>0.34</v>
      </c>
      <c r="B35" s="17" t="n">
        <f aca="false">1000*(B$3^2/8*((2*ACOS(1-2*$A35))-SIN((2*ACOS(1-2*$A35)))))*((B$3^2/8*((2*ACOS(1-2*$A35))-SIN((2*ACOS(1-2*$A35)))))/(B$3*(2*ACOS(1-2*$A35))/2))^(2.5*SQRT(К1!$H$9)-0.13-0.75*SQRT(((B$3^2/8*((2*ACOS(1-2*$A35))-SIN((2*ACOS(1-2*$A35)))))/(B$3*(2*ACOS(1-2*$A35))/2)))*(SQRT(К1!$H$9)-0.1))/К1!$H$9*SQRT(((B$3^2/8*((2*ACOS(1-2*$A35))-SIN((2*ACOS(1-2*$A35)))))/(B$3*(2*ACOS(1-2*$A35))/2))*B$4)</f>
        <v>1.70701657640973</v>
      </c>
      <c r="C35" s="17" t="n">
        <f aca="false">1000*(C$3^2/8*((2*ACOS(1-2*$A35))-SIN((2*ACOS(1-2*$A35)))))*((C$3^2/8*((2*ACOS(1-2*$A35))-SIN((2*ACOS(1-2*$A35)))))/(C$3*(2*ACOS(1-2*$A35))/2))^(2.5*SQRT(К1!$H$9)-0.13-0.75*SQRT(((C$3^2/8*((2*ACOS(1-2*$A35))-SIN((2*ACOS(1-2*$A35)))))/(C$3*(2*ACOS(1-2*$A35))/2)))*(SQRT(К1!$H$9)-0.1))/К1!$H$9*SQRT(((C$3^2/8*((2*ACOS(1-2*$A35))-SIN((2*ACOS(1-2*$A35)))))/(C$3*(2*ACOS(1-2*$A35))/2))*C$4)</f>
        <v>1.70701657640973</v>
      </c>
      <c r="D35" s="17" t="n">
        <f aca="false">1000*(D$3^2/8*((2*ACOS(1-2*$A35))-SIN((2*ACOS(1-2*$A35)))))*((D$3^2/8*((2*ACOS(1-2*$A35))-SIN((2*ACOS(1-2*$A35)))))/(D$3*(2*ACOS(1-2*$A35))/2))^(2.5*SQRT(К1!$H$9)-0.13-0.75*SQRT(((D$3^2/8*((2*ACOS(1-2*$A35))-SIN((2*ACOS(1-2*$A35)))))/(D$3*(2*ACOS(1-2*$A35))/2)))*(SQRT(К1!$H$9)-0.1))/К1!$H$9*SQRT(((D$3^2/8*((2*ACOS(1-2*$A35))-SIN((2*ACOS(1-2*$A35)))))/(D$3*(2*ACOS(1-2*$A35))/2))*D$4)</f>
        <v>3.18432098778427</v>
      </c>
      <c r="E35" s="17" t="n">
        <f aca="false">1000*(E$3^2/8*((2*ACOS(1-2*$A35))-SIN((2*ACOS(1-2*$A35)))))*((E$3^2/8*((2*ACOS(1-2*$A35))-SIN((2*ACOS(1-2*$A35)))))/(E$3*(2*ACOS(1-2*$A35))/2))^(2.5*SQRT(К1!$H$9)-0.13-0.75*SQRT(((E$3^2/8*((2*ACOS(1-2*$A35))-SIN((2*ACOS(1-2*$A35)))))/(E$3*(2*ACOS(1-2*$A35))/2)))*(SQRT(К1!$H$9)-0.1))/К1!$H$9*SQRT(((E$3^2/8*((2*ACOS(1-2*$A35))-SIN((2*ACOS(1-2*$A35)))))/(E$3*(2*ACOS(1-2*$A35))/2))*E$4)</f>
        <v>3.18432098778427</v>
      </c>
      <c r="F35" s="17" t="n">
        <f aca="false">1000*(F$3^2/8*((2*ACOS(1-2*$A35))-SIN((2*ACOS(1-2*$A35)))))*((F$3^2/8*((2*ACOS(1-2*$A35))-SIN((2*ACOS(1-2*$A35)))))/(F$3*(2*ACOS(1-2*$A35))/2))^(2.5*SQRT(К1!$H$9)-0.13-0.75*SQRT(((F$3^2/8*((2*ACOS(1-2*$A35))-SIN((2*ACOS(1-2*$A35)))))/(F$3*(2*ACOS(1-2*$A35))/2)))*(SQRT(К1!$H$9)-0.1))/К1!$H$9*SQRT(((F$3^2/8*((2*ACOS(1-2*$A35))-SIN((2*ACOS(1-2*$A35)))))/(F$3*(2*ACOS(1-2*$A35))/2))*F$4)</f>
        <v>3.18432098778427</v>
      </c>
    </row>
    <row r="36" customFormat="false" ht="15" hidden="false" customHeight="false" outlineLevel="0" collapsed="false">
      <c r="A36" s="16" t="n">
        <v>0.35</v>
      </c>
      <c r="B36" s="17" t="n">
        <f aca="false">1000*(B$3^2/8*((2*ACOS(1-2*$A36))-SIN((2*ACOS(1-2*$A36)))))*((B$3^2/8*((2*ACOS(1-2*$A36))-SIN((2*ACOS(1-2*$A36)))))/(B$3*(2*ACOS(1-2*$A36))/2))^(2.5*SQRT(К1!$H$9)-0.13-0.75*SQRT(((B$3^2/8*((2*ACOS(1-2*$A36))-SIN((2*ACOS(1-2*$A36)))))/(B$3*(2*ACOS(1-2*$A36))/2)))*(SQRT(К1!$H$9)-0.1))/К1!$H$9*SQRT(((B$3^2/8*((2*ACOS(1-2*$A36))-SIN((2*ACOS(1-2*$A36)))))/(B$3*(2*ACOS(1-2*$A36))/2))*B$4)</f>
        <v>1.8032095914686</v>
      </c>
      <c r="C36" s="17" t="n">
        <f aca="false">1000*(C$3^2/8*((2*ACOS(1-2*$A36))-SIN((2*ACOS(1-2*$A36)))))*((C$3^2/8*((2*ACOS(1-2*$A36))-SIN((2*ACOS(1-2*$A36)))))/(C$3*(2*ACOS(1-2*$A36))/2))^(2.5*SQRT(К1!$H$9)-0.13-0.75*SQRT(((C$3^2/8*((2*ACOS(1-2*$A36))-SIN((2*ACOS(1-2*$A36)))))/(C$3*(2*ACOS(1-2*$A36))/2)))*(SQRT(К1!$H$9)-0.1))/К1!$H$9*SQRT(((C$3^2/8*((2*ACOS(1-2*$A36))-SIN((2*ACOS(1-2*$A36)))))/(C$3*(2*ACOS(1-2*$A36))/2))*C$4)</f>
        <v>1.8032095914686</v>
      </c>
      <c r="D36" s="17" t="n">
        <f aca="false">1000*(D$3^2/8*((2*ACOS(1-2*$A36))-SIN((2*ACOS(1-2*$A36)))))*((D$3^2/8*((2*ACOS(1-2*$A36))-SIN((2*ACOS(1-2*$A36)))))/(D$3*(2*ACOS(1-2*$A36))/2))^(2.5*SQRT(К1!$H$9)-0.13-0.75*SQRT(((D$3^2/8*((2*ACOS(1-2*$A36))-SIN((2*ACOS(1-2*$A36)))))/(D$3*(2*ACOS(1-2*$A36))/2)))*(SQRT(К1!$H$9)-0.1))/К1!$H$9*SQRT(((D$3^2/8*((2*ACOS(1-2*$A36))-SIN((2*ACOS(1-2*$A36)))))/(D$3*(2*ACOS(1-2*$A36))/2))*D$4)</f>
        <v>3.36375823330904</v>
      </c>
      <c r="E36" s="17" t="n">
        <f aca="false">1000*(E$3^2/8*((2*ACOS(1-2*$A36))-SIN((2*ACOS(1-2*$A36)))))*((E$3^2/8*((2*ACOS(1-2*$A36))-SIN((2*ACOS(1-2*$A36)))))/(E$3*(2*ACOS(1-2*$A36))/2))^(2.5*SQRT(К1!$H$9)-0.13-0.75*SQRT(((E$3^2/8*((2*ACOS(1-2*$A36))-SIN((2*ACOS(1-2*$A36)))))/(E$3*(2*ACOS(1-2*$A36))/2)))*(SQRT(К1!$H$9)-0.1))/К1!$H$9*SQRT(((E$3^2/8*((2*ACOS(1-2*$A36))-SIN((2*ACOS(1-2*$A36)))))/(E$3*(2*ACOS(1-2*$A36))/2))*E$4)</f>
        <v>3.36375823330904</v>
      </c>
      <c r="F36" s="17" t="n">
        <f aca="false">1000*(F$3^2/8*((2*ACOS(1-2*$A36))-SIN((2*ACOS(1-2*$A36)))))*((F$3^2/8*((2*ACOS(1-2*$A36))-SIN((2*ACOS(1-2*$A36)))))/(F$3*(2*ACOS(1-2*$A36))/2))^(2.5*SQRT(К1!$H$9)-0.13-0.75*SQRT(((F$3^2/8*((2*ACOS(1-2*$A36))-SIN((2*ACOS(1-2*$A36)))))/(F$3*(2*ACOS(1-2*$A36))/2)))*(SQRT(К1!$H$9)-0.1))/К1!$H$9*SQRT(((F$3^2/8*((2*ACOS(1-2*$A36))-SIN((2*ACOS(1-2*$A36)))))/(F$3*(2*ACOS(1-2*$A36))/2))*F$4)</f>
        <v>3.36375823330904</v>
      </c>
    </row>
    <row r="37" customFormat="false" ht="15" hidden="false" customHeight="false" outlineLevel="0" collapsed="false">
      <c r="A37" s="16" t="n">
        <v>0.36</v>
      </c>
      <c r="B37" s="17" t="n">
        <f aca="false">1000*(B$3^2/8*((2*ACOS(1-2*$A37))-SIN((2*ACOS(1-2*$A37)))))*((B$3^2/8*((2*ACOS(1-2*$A37))-SIN((2*ACOS(1-2*$A37)))))/(B$3*(2*ACOS(1-2*$A37))/2))^(2.5*SQRT(К1!$H$9)-0.13-0.75*SQRT(((B$3^2/8*((2*ACOS(1-2*$A37))-SIN((2*ACOS(1-2*$A37)))))/(B$3*(2*ACOS(1-2*$A37))/2)))*(SQRT(К1!$H$9)-0.1))/К1!$H$9*SQRT(((B$3^2/8*((2*ACOS(1-2*$A37))-SIN((2*ACOS(1-2*$A37)))))/(B$3*(2*ACOS(1-2*$A37))/2))*B$4)</f>
        <v>1.90131161210021</v>
      </c>
      <c r="C37" s="17" t="n">
        <f aca="false">1000*(C$3^2/8*((2*ACOS(1-2*$A37))-SIN((2*ACOS(1-2*$A37)))))*((C$3^2/8*((2*ACOS(1-2*$A37))-SIN((2*ACOS(1-2*$A37)))))/(C$3*(2*ACOS(1-2*$A37))/2))^(2.5*SQRT(К1!$H$9)-0.13-0.75*SQRT(((C$3^2/8*((2*ACOS(1-2*$A37))-SIN((2*ACOS(1-2*$A37)))))/(C$3*(2*ACOS(1-2*$A37))/2)))*(SQRT(К1!$H$9)-0.1))/К1!$H$9*SQRT(((C$3^2/8*((2*ACOS(1-2*$A37))-SIN((2*ACOS(1-2*$A37)))))/(C$3*(2*ACOS(1-2*$A37))/2))*C$4)</f>
        <v>1.90131161210021</v>
      </c>
      <c r="D37" s="17" t="n">
        <f aca="false">1000*(D$3^2/8*((2*ACOS(1-2*$A37))-SIN((2*ACOS(1-2*$A37)))))*((D$3^2/8*((2*ACOS(1-2*$A37))-SIN((2*ACOS(1-2*$A37)))))/(D$3*(2*ACOS(1-2*$A37))/2))^(2.5*SQRT(К1!$H$9)-0.13-0.75*SQRT(((D$3^2/8*((2*ACOS(1-2*$A37))-SIN((2*ACOS(1-2*$A37)))))/(D$3*(2*ACOS(1-2*$A37))/2)))*(SQRT(К1!$H$9)-0.1))/К1!$H$9*SQRT(((D$3^2/8*((2*ACOS(1-2*$A37))-SIN((2*ACOS(1-2*$A37)))))/(D$3*(2*ACOS(1-2*$A37))/2))*D$4)</f>
        <v>3.54675588899916</v>
      </c>
      <c r="E37" s="17" t="n">
        <f aca="false">1000*(E$3^2/8*((2*ACOS(1-2*$A37))-SIN((2*ACOS(1-2*$A37)))))*((E$3^2/8*((2*ACOS(1-2*$A37))-SIN((2*ACOS(1-2*$A37)))))/(E$3*(2*ACOS(1-2*$A37))/2))^(2.5*SQRT(К1!$H$9)-0.13-0.75*SQRT(((E$3^2/8*((2*ACOS(1-2*$A37))-SIN((2*ACOS(1-2*$A37)))))/(E$3*(2*ACOS(1-2*$A37))/2)))*(SQRT(К1!$H$9)-0.1))/К1!$H$9*SQRT(((E$3^2/8*((2*ACOS(1-2*$A37))-SIN((2*ACOS(1-2*$A37)))))/(E$3*(2*ACOS(1-2*$A37))/2))*E$4)</f>
        <v>3.54675588899916</v>
      </c>
      <c r="F37" s="17" t="n">
        <f aca="false">1000*(F$3^2/8*((2*ACOS(1-2*$A37))-SIN((2*ACOS(1-2*$A37)))))*((F$3^2/8*((2*ACOS(1-2*$A37))-SIN((2*ACOS(1-2*$A37)))))/(F$3*(2*ACOS(1-2*$A37))/2))^(2.5*SQRT(К1!$H$9)-0.13-0.75*SQRT(((F$3^2/8*((2*ACOS(1-2*$A37))-SIN((2*ACOS(1-2*$A37)))))/(F$3*(2*ACOS(1-2*$A37))/2)))*(SQRT(К1!$H$9)-0.1))/К1!$H$9*SQRT(((F$3^2/8*((2*ACOS(1-2*$A37))-SIN((2*ACOS(1-2*$A37)))))/(F$3*(2*ACOS(1-2*$A37))/2))*F$4)</f>
        <v>3.54675588899916</v>
      </c>
    </row>
    <row r="38" customFormat="false" ht="15" hidden="false" customHeight="false" outlineLevel="0" collapsed="false">
      <c r="A38" s="16" t="n">
        <v>0.37</v>
      </c>
      <c r="B38" s="17" t="n">
        <f aca="false">1000*(B$3^2/8*((2*ACOS(1-2*$A38))-SIN((2*ACOS(1-2*$A38)))))*((B$3^2/8*((2*ACOS(1-2*$A38))-SIN((2*ACOS(1-2*$A38)))))/(B$3*(2*ACOS(1-2*$A38))/2))^(2.5*SQRT(К1!$H$9)-0.13-0.75*SQRT(((B$3^2/8*((2*ACOS(1-2*$A38))-SIN((2*ACOS(1-2*$A38)))))/(B$3*(2*ACOS(1-2*$A38))/2)))*(SQRT(К1!$H$9)-0.1))/К1!$H$9*SQRT(((B$3^2/8*((2*ACOS(1-2*$A38))-SIN((2*ACOS(1-2*$A38)))))/(B$3*(2*ACOS(1-2*$A38))/2))*B$4)</f>
        <v>2.00124591518954</v>
      </c>
      <c r="C38" s="17" t="n">
        <f aca="false">1000*(C$3^2/8*((2*ACOS(1-2*$A38))-SIN((2*ACOS(1-2*$A38)))))*((C$3^2/8*((2*ACOS(1-2*$A38))-SIN((2*ACOS(1-2*$A38)))))/(C$3*(2*ACOS(1-2*$A38))/2))^(2.5*SQRT(К1!$H$9)-0.13-0.75*SQRT(((C$3^2/8*((2*ACOS(1-2*$A38))-SIN((2*ACOS(1-2*$A38)))))/(C$3*(2*ACOS(1-2*$A38))/2)))*(SQRT(К1!$H$9)-0.1))/К1!$H$9*SQRT(((C$3^2/8*((2*ACOS(1-2*$A38))-SIN((2*ACOS(1-2*$A38)))))/(C$3*(2*ACOS(1-2*$A38))/2))*C$4)</f>
        <v>2.00124591518954</v>
      </c>
      <c r="D38" s="17" t="n">
        <f aca="false">1000*(D$3^2/8*((2*ACOS(1-2*$A38))-SIN((2*ACOS(1-2*$A38)))))*((D$3^2/8*((2*ACOS(1-2*$A38))-SIN((2*ACOS(1-2*$A38)))))/(D$3*(2*ACOS(1-2*$A38))/2))^(2.5*SQRT(К1!$H$9)-0.13-0.75*SQRT(((D$3^2/8*((2*ACOS(1-2*$A38))-SIN((2*ACOS(1-2*$A38)))))/(D$3*(2*ACOS(1-2*$A38))/2)))*(SQRT(К1!$H$9)-0.1))/К1!$H$9*SQRT(((D$3^2/8*((2*ACOS(1-2*$A38))-SIN((2*ACOS(1-2*$A38)))))/(D$3*(2*ACOS(1-2*$A38))/2))*D$4)</f>
        <v>3.73317081310628</v>
      </c>
      <c r="E38" s="17" t="n">
        <f aca="false">1000*(E$3^2/8*((2*ACOS(1-2*$A38))-SIN((2*ACOS(1-2*$A38)))))*((E$3^2/8*((2*ACOS(1-2*$A38))-SIN((2*ACOS(1-2*$A38)))))/(E$3*(2*ACOS(1-2*$A38))/2))^(2.5*SQRT(К1!$H$9)-0.13-0.75*SQRT(((E$3^2/8*((2*ACOS(1-2*$A38))-SIN((2*ACOS(1-2*$A38)))))/(E$3*(2*ACOS(1-2*$A38))/2)))*(SQRT(К1!$H$9)-0.1))/К1!$H$9*SQRT(((E$3^2/8*((2*ACOS(1-2*$A38))-SIN((2*ACOS(1-2*$A38)))))/(E$3*(2*ACOS(1-2*$A38))/2))*E$4)</f>
        <v>3.73317081310628</v>
      </c>
      <c r="F38" s="17" t="n">
        <f aca="false">1000*(F$3^2/8*((2*ACOS(1-2*$A38))-SIN((2*ACOS(1-2*$A38)))))*((F$3^2/8*((2*ACOS(1-2*$A38))-SIN((2*ACOS(1-2*$A38)))))/(F$3*(2*ACOS(1-2*$A38))/2))^(2.5*SQRT(К1!$H$9)-0.13-0.75*SQRT(((F$3^2/8*((2*ACOS(1-2*$A38))-SIN((2*ACOS(1-2*$A38)))))/(F$3*(2*ACOS(1-2*$A38))/2)))*(SQRT(К1!$H$9)-0.1))/К1!$H$9*SQRT(((F$3^2/8*((2*ACOS(1-2*$A38))-SIN((2*ACOS(1-2*$A38)))))/(F$3*(2*ACOS(1-2*$A38))/2))*F$4)</f>
        <v>3.73317081310628</v>
      </c>
    </row>
    <row r="39" customFormat="false" ht="15" hidden="false" customHeight="false" outlineLevel="0" collapsed="false">
      <c r="A39" s="16" t="n">
        <v>0.38</v>
      </c>
      <c r="B39" s="17" t="n">
        <f aca="false">1000*(B$3^2/8*((2*ACOS(1-2*$A39))-SIN((2*ACOS(1-2*$A39)))))*((B$3^2/8*((2*ACOS(1-2*$A39))-SIN((2*ACOS(1-2*$A39)))))/(B$3*(2*ACOS(1-2*$A39))/2))^(2.5*SQRT(К1!$H$9)-0.13-0.75*SQRT(((B$3^2/8*((2*ACOS(1-2*$A39))-SIN((2*ACOS(1-2*$A39)))))/(B$3*(2*ACOS(1-2*$A39))/2)))*(SQRT(К1!$H$9)-0.1))/К1!$H$9*SQRT(((B$3^2/8*((2*ACOS(1-2*$A39))-SIN((2*ACOS(1-2*$A39)))))/(B$3*(2*ACOS(1-2*$A39))/2))*B$4)</f>
        <v>2.10293443054063</v>
      </c>
      <c r="C39" s="17" t="n">
        <f aca="false">1000*(C$3^2/8*((2*ACOS(1-2*$A39))-SIN((2*ACOS(1-2*$A39)))))*((C$3^2/8*((2*ACOS(1-2*$A39))-SIN((2*ACOS(1-2*$A39)))))/(C$3*(2*ACOS(1-2*$A39))/2))^(2.5*SQRT(К1!$H$9)-0.13-0.75*SQRT(((C$3^2/8*((2*ACOS(1-2*$A39))-SIN((2*ACOS(1-2*$A39)))))/(C$3*(2*ACOS(1-2*$A39))/2)))*(SQRT(К1!$H$9)-0.1))/К1!$H$9*SQRT(((C$3^2/8*((2*ACOS(1-2*$A39))-SIN((2*ACOS(1-2*$A39)))))/(C$3*(2*ACOS(1-2*$A39))/2))*C$4)</f>
        <v>2.10293443054063</v>
      </c>
      <c r="D39" s="17" t="n">
        <f aca="false">1000*(D$3^2/8*((2*ACOS(1-2*$A39))-SIN((2*ACOS(1-2*$A39)))))*((D$3^2/8*((2*ACOS(1-2*$A39))-SIN((2*ACOS(1-2*$A39)))))/(D$3*(2*ACOS(1-2*$A39))/2))^(2.5*SQRT(К1!$H$9)-0.13-0.75*SQRT(((D$3^2/8*((2*ACOS(1-2*$A39))-SIN((2*ACOS(1-2*$A39)))))/(D$3*(2*ACOS(1-2*$A39))/2)))*(SQRT(К1!$H$9)-0.1))/К1!$H$9*SQRT(((D$3^2/8*((2*ACOS(1-2*$A39))-SIN((2*ACOS(1-2*$A39)))))/(D$3*(2*ACOS(1-2*$A39))/2))*D$4)</f>
        <v>3.92285735432006</v>
      </c>
      <c r="E39" s="17" t="n">
        <f aca="false">1000*(E$3^2/8*((2*ACOS(1-2*$A39))-SIN((2*ACOS(1-2*$A39)))))*((E$3^2/8*((2*ACOS(1-2*$A39))-SIN((2*ACOS(1-2*$A39)))))/(E$3*(2*ACOS(1-2*$A39))/2))^(2.5*SQRT(К1!$H$9)-0.13-0.75*SQRT(((E$3^2/8*((2*ACOS(1-2*$A39))-SIN((2*ACOS(1-2*$A39)))))/(E$3*(2*ACOS(1-2*$A39))/2)))*(SQRT(К1!$H$9)-0.1))/К1!$H$9*SQRT(((E$3^2/8*((2*ACOS(1-2*$A39))-SIN((2*ACOS(1-2*$A39)))))/(E$3*(2*ACOS(1-2*$A39))/2))*E$4)</f>
        <v>3.92285735432006</v>
      </c>
      <c r="F39" s="17" t="n">
        <f aca="false">1000*(F$3^2/8*((2*ACOS(1-2*$A39))-SIN((2*ACOS(1-2*$A39)))))*((F$3^2/8*((2*ACOS(1-2*$A39))-SIN((2*ACOS(1-2*$A39)))))/(F$3*(2*ACOS(1-2*$A39))/2))^(2.5*SQRT(К1!$H$9)-0.13-0.75*SQRT(((F$3^2/8*((2*ACOS(1-2*$A39))-SIN((2*ACOS(1-2*$A39)))))/(F$3*(2*ACOS(1-2*$A39))/2)))*(SQRT(К1!$H$9)-0.1))/К1!$H$9*SQRT(((F$3^2/8*((2*ACOS(1-2*$A39))-SIN((2*ACOS(1-2*$A39)))))/(F$3*(2*ACOS(1-2*$A39))/2))*F$4)</f>
        <v>3.92285735432006</v>
      </c>
    </row>
    <row r="40" customFormat="false" ht="15" hidden="false" customHeight="false" outlineLevel="0" collapsed="false">
      <c r="A40" s="16" t="n">
        <v>0.39</v>
      </c>
      <c r="B40" s="17" t="n">
        <f aca="false">1000*(B$3^2/8*((2*ACOS(1-2*$A40))-SIN((2*ACOS(1-2*$A40)))))*((B$3^2/8*((2*ACOS(1-2*$A40))-SIN((2*ACOS(1-2*$A40)))))/(B$3*(2*ACOS(1-2*$A40))/2))^(2.5*SQRT(К1!$H$9)-0.13-0.75*SQRT(((B$3^2/8*((2*ACOS(1-2*$A40))-SIN((2*ACOS(1-2*$A40)))))/(B$3*(2*ACOS(1-2*$A40))/2)))*(SQRT(К1!$H$9)-0.1))/К1!$H$9*SQRT(((B$3^2/8*((2*ACOS(1-2*$A40))-SIN((2*ACOS(1-2*$A40)))))/(B$3*(2*ACOS(1-2*$A40))/2))*B$4)</f>
        <v>2.20629775599351</v>
      </c>
      <c r="C40" s="17" t="n">
        <f aca="false">1000*(C$3^2/8*((2*ACOS(1-2*$A40))-SIN((2*ACOS(1-2*$A40)))))*((C$3^2/8*((2*ACOS(1-2*$A40))-SIN((2*ACOS(1-2*$A40)))))/(C$3*(2*ACOS(1-2*$A40))/2))^(2.5*SQRT(К1!$H$9)-0.13-0.75*SQRT(((C$3^2/8*((2*ACOS(1-2*$A40))-SIN((2*ACOS(1-2*$A40)))))/(C$3*(2*ACOS(1-2*$A40))/2)))*(SQRT(К1!$H$9)-0.1))/К1!$H$9*SQRT(((C$3^2/8*((2*ACOS(1-2*$A40))-SIN((2*ACOS(1-2*$A40)))))/(C$3*(2*ACOS(1-2*$A40))/2))*C$4)</f>
        <v>2.20629775599351</v>
      </c>
      <c r="D40" s="17" t="n">
        <f aca="false">1000*(D$3^2/8*((2*ACOS(1-2*$A40))-SIN((2*ACOS(1-2*$A40)))))*((D$3^2/8*((2*ACOS(1-2*$A40))-SIN((2*ACOS(1-2*$A40)))))/(D$3*(2*ACOS(1-2*$A40))/2))^(2.5*SQRT(К1!$H$9)-0.13-0.75*SQRT(((D$3^2/8*((2*ACOS(1-2*$A40))-SIN((2*ACOS(1-2*$A40)))))/(D$3*(2*ACOS(1-2*$A40))/2)))*(SQRT(К1!$H$9)-0.1))/К1!$H$9*SQRT(((D$3^2/8*((2*ACOS(1-2*$A40))-SIN((2*ACOS(1-2*$A40)))))/(D$3*(2*ACOS(1-2*$A40))/2))*D$4)</f>
        <v>4.11566738000037</v>
      </c>
      <c r="E40" s="17" t="n">
        <f aca="false">1000*(E$3^2/8*((2*ACOS(1-2*$A40))-SIN((2*ACOS(1-2*$A40)))))*((E$3^2/8*((2*ACOS(1-2*$A40))-SIN((2*ACOS(1-2*$A40)))))/(E$3*(2*ACOS(1-2*$A40))/2))^(2.5*SQRT(К1!$H$9)-0.13-0.75*SQRT(((E$3^2/8*((2*ACOS(1-2*$A40))-SIN((2*ACOS(1-2*$A40)))))/(E$3*(2*ACOS(1-2*$A40))/2)))*(SQRT(К1!$H$9)-0.1))/К1!$H$9*SQRT(((E$3^2/8*((2*ACOS(1-2*$A40))-SIN((2*ACOS(1-2*$A40)))))/(E$3*(2*ACOS(1-2*$A40))/2))*E$4)</f>
        <v>4.11566738000037</v>
      </c>
      <c r="F40" s="17" t="n">
        <f aca="false">1000*(F$3^2/8*((2*ACOS(1-2*$A40))-SIN((2*ACOS(1-2*$A40)))))*((F$3^2/8*((2*ACOS(1-2*$A40))-SIN((2*ACOS(1-2*$A40)))))/(F$3*(2*ACOS(1-2*$A40))/2))^(2.5*SQRT(К1!$H$9)-0.13-0.75*SQRT(((F$3^2/8*((2*ACOS(1-2*$A40))-SIN((2*ACOS(1-2*$A40)))))/(F$3*(2*ACOS(1-2*$A40))/2)))*(SQRT(К1!$H$9)-0.1))/К1!$H$9*SQRT(((F$3^2/8*((2*ACOS(1-2*$A40))-SIN((2*ACOS(1-2*$A40)))))/(F$3*(2*ACOS(1-2*$A40))/2))*F$4)</f>
        <v>4.11566738000037</v>
      </c>
    </row>
    <row r="41" customFormat="false" ht="15" hidden="false" customHeight="false" outlineLevel="0" collapsed="false">
      <c r="A41" s="16" t="n">
        <v>0.4</v>
      </c>
      <c r="B41" s="17" t="n">
        <f aca="false">1000*(B$3^2/8*((2*ACOS(1-2*$A41))-SIN((2*ACOS(1-2*$A41)))))*((B$3^2/8*((2*ACOS(1-2*$A41))-SIN((2*ACOS(1-2*$A41)))))/(B$3*(2*ACOS(1-2*$A41))/2))^(2.5*SQRT(К1!$H$9)-0.13-0.75*SQRT(((B$3^2/8*((2*ACOS(1-2*$A41))-SIN((2*ACOS(1-2*$A41)))))/(B$3*(2*ACOS(1-2*$A41))/2)))*(SQRT(К1!$H$9)-0.1))/К1!$H$9*SQRT(((B$3^2/8*((2*ACOS(1-2*$A41))-SIN((2*ACOS(1-2*$A41)))))/(B$3*(2*ACOS(1-2*$A41))/2))*B$4)</f>
        <v>2.31125516894121</v>
      </c>
      <c r="C41" s="17" t="n">
        <f aca="false">1000*(C$3^2/8*((2*ACOS(1-2*$A41))-SIN((2*ACOS(1-2*$A41)))))*((C$3^2/8*((2*ACOS(1-2*$A41))-SIN((2*ACOS(1-2*$A41)))))/(C$3*(2*ACOS(1-2*$A41))/2))^(2.5*SQRT(К1!$H$9)-0.13-0.75*SQRT(((C$3^2/8*((2*ACOS(1-2*$A41))-SIN((2*ACOS(1-2*$A41)))))/(C$3*(2*ACOS(1-2*$A41))/2)))*(SQRT(К1!$H$9)-0.1))/К1!$H$9*SQRT(((C$3^2/8*((2*ACOS(1-2*$A41))-SIN((2*ACOS(1-2*$A41)))))/(C$3*(2*ACOS(1-2*$A41))/2))*C$4)</f>
        <v>2.31125516894121</v>
      </c>
      <c r="D41" s="17" t="n">
        <f aca="false">1000*(D$3^2/8*((2*ACOS(1-2*$A41))-SIN((2*ACOS(1-2*$A41)))))*((D$3^2/8*((2*ACOS(1-2*$A41))-SIN((2*ACOS(1-2*$A41)))))/(D$3*(2*ACOS(1-2*$A41))/2))^(2.5*SQRT(К1!$H$9)-0.13-0.75*SQRT(((D$3^2/8*((2*ACOS(1-2*$A41))-SIN((2*ACOS(1-2*$A41)))))/(D$3*(2*ACOS(1-2*$A41))/2)))*(SQRT(К1!$H$9)-0.1))/К1!$H$9*SQRT(((D$3^2/8*((2*ACOS(1-2*$A41))-SIN((2*ACOS(1-2*$A41)))))/(D$3*(2*ACOS(1-2*$A41))/2))*D$4)</f>
        <v>4.31145029768552</v>
      </c>
      <c r="E41" s="17" t="n">
        <f aca="false">1000*(E$3^2/8*((2*ACOS(1-2*$A41))-SIN((2*ACOS(1-2*$A41)))))*((E$3^2/8*((2*ACOS(1-2*$A41))-SIN((2*ACOS(1-2*$A41)))))/(E$3*(2*ACOS(1-2*$A41))/2))^(2.5*SQRT(К1!$H$9)-0.13-0.75*SQRT(((E$3^2/8*((2*ACOS(1-2*$A41))-SIN((2*ACOS(1-2*$A41)))))/(E$3*(2*ACOS(1-2*$A41))/2)))*(SQRT(К1!$H$9)-0.1))/К1!$H$9*SQRT(((E$3^2/8*((2*ACOS(1-2*$A41))-SIN((2*ACOS(1-2*$A41)))))/(E$3*(2*ACOS(1-2*$A41))/2))*E$4)</f>
        <v>4.31145029768552</v>
      </c>
      <c r="F41" s="17" t="n">
        <f aca="false">1000*(F$3^2/8*((2*ACOS(1-2*$A41))-SIN((2*ACOS(1-2*$A41)))))*((F$3^2/8*((2*ACOS(1-2*$A41))-SIN((2*ACOS(1-2*$A41)))))/(F$3*(2*ACOS(1-2*$A41))/2))^(2.5*SQRT(К1!$H$9)-0.13-0.75*SQRT(((F$3^2/8*((2*ACOS(1-2*$A41))-SIN((2*ACOS(1-2*$A41)))))/(F$3*(2*ACOS(1-2*$A41))/2)))*(SQRT(К1!$H$9)-0.1))/К1!$H$9*SQRT(((F$3^2/8*((2*ACOS(1-2*$A41))-SIN((2*ACOS(1-2*$A41)))))/(F$3*(2*ACOS(1-2*$A41))/2))*F$4)</f>
        <v>4.31145029768552</v>
      </c>
    </row>
    <row r="42" customFormat="false" ht="15" hidden="false" customHeight="false" outlineLevel="0" collapsed="false">
      <c r="A42" s="16" t="n">
        <v>0.41</v>
      </c>
      <c r="B42" s="17" t="n">
        <f aca="false">1000*(B$3^2/8*((2*ACOS(1-2*$A42))-SIN((2*ACOS(1-2*$A42)))))*((B$3^2/8*((2*ACOS(1-2*$A42))-SIN((2*ACOS(1-2*$A42)))))/(B$3*(2*ACOS(1-2*$A42))/2))^(2.5*SQRT(К1!$H$9)-0.13-0.75*SQRT(((B$3^2/8*((2*ACOS(1-2*$A42))-SIN((2*ACOS(1-2*$A42)))))/(B$3*(2*ACOS(1-2*$A42))/2)))*(SQRT(К1!$H$9)-0.1))/К1!$H$9*SQRT(((B$3^2/8*((2*ACOS(1-2*$A42))-SIN((2*ACOS(1-2*$A42)))))/(B$3*(2*ACOS(1-2*$A42))/2))*B$4)</f>
        <v>2.41772463435846</v>
      </c>
      <c r="C42" s="17" t="n">
        <f aca="false">1000*(C$3^2/8*((2*ACOS(1-2*$A42))-SIN((2*ACOS(1-2*$A42)))))*((C$3^2/8*((2*ACOS(1-2*$A42))-SIN((2*ACOS(1-2*$A42)))))/(C$3*(2*ACOS(1-2*$A42))/2))^(2.5*SQRT(К1!$H$9)-0.13-0.75*SQRT(((C$3^2/8*((2*ACOS(1-2*$A42))-SIN((2*ACOS(1-2*$A42)))))/(C$3*(2*ACOS(1-2*$A42))/2)))*(SQRT(К1!$H$9)-0.1))/К1!$H$9*SQRT(((C$3^2/8*((2*ACOS(1-2*$A42))-SIN((2*ACOS(1-2*$A42)))))/(C$3*(2*ACOS(1-2*$A42))/2))*C$4)</f>
        <v>2.41772463435846</v>
      </c>
      <c r="D42" s="17" t="n">
        <f aca="false">1000*(D$3^2/8*((2*ACOS(1-2*$A42))-SIN((2*ACOS(1-2*$A42)))))*((D$3^2/8*((2*ACOS(1-2*$A42))-SIN((2*ACOS(1-2*$A42)))))/(D$3*(2*ACOS(1-2*$A42))/2))^(2.5*SQRT(К1!$H$9)-0.13-0.75*SQRT(((D$3^2/8*((2*ACOS(1-2*$A42))-SIN((2*ACOS(1-2*$A42)))))/(D$3*(2*ACOS(1-2*$A42))/2)))*(SQRT(К1!$H$9)-0.1))/К1!$H$9*SQRT(((D$3^2/8*((2*ACOS(1-2*$A42))-SIN((2*ACOS(1-2*$A42)))))/(D$3*(2*ACOS(1-2*$A42))/2))*D$4)</f>
        <v>4.51005307008502</v>
      </c>
      <c r="E42" s="17" t="n">
        <f aca="false">1000*(E$3^2/8*((2*ACOS(1-2*$A42))-SIN((2*ACOS(1-2*$A42)))))*((E$3^2/8*((2*ACOS(1-2*$A42))-SIN((2*ACOS(1-2*$A42)))))/(E$3*(2*ACOS(1-2*$A42))/2))^(2.5*SQRT(К1!$H$9)-0.13-0.75*SQRT(((E$3^2/8*((2*ACOS(1-2*$A42))-SIN((2*ACOS(1-2*$A42)))))/(E$3*(2*ACOS(1-2*$A42))/2)))*(SQRT(К1!$H$9)-0.1))/К1!$H$9*SQRT(((E$3^2/8*((2*ACOS(1-2*$A42))-SIN((2*ACOS(1-2*$A42)))))/(E$3*(2*ACOS(1-2*$A42))/2))*E$4)</f>
        <v>4.51005307008502</v>
      </c>
      <c r="F42" s="17" t="n">
        <f aca="false">1000*(F$3^2/8*((2*ACOS(1-2*$A42))-SIN((2*ACOS(1-2*$A42)))))*((F$3^2/8*((2*ACOS(1-2*$A42))-SIN((2*ACOS(1-2*$A42)))))/(F$3*(2*ACOS(1-2*$A42))/2))^(2.5*SQRT(К1!$H$9)-0.13-0.75*SQRT(((F$3^2/8*((2*ACOS(1-2*$A42))-SIN((2*ACOS(1-2*$A42)))))/(F$3*(2*ACOS(1-2*$A42))/2)))*(SQRT(К1!$H$9)-0.1))/К1!$H$9*SQRT(((F$3^2/8*((2*ACOS(1-2*$A42))-SIN((2*ACOS(1-2*$A42)))))/(F$3*(2*ACOS(1-2*$A42))/2))*F$4)</f>
        <v>4.51005307008502</v>
      </c>
    </row>
    <row r="43" customFormat="false" ht="15" hidden="false" customHeight="false" outlineLevel="0" collapsed="false">
      <c r="A43" s="16" t="n">
        <v>0.42</v>
      </c>
      <c r="B43" s="17" t="n">
        <f aca="false">1000*(B$3^2/8*((2*ACOS(1-2*$A43))-SIN((2*ACOS(1-2*$A43)))))*((B$3^2/8*((2*ACOS(1-2*$A43))-SIN((2*ACOS(1-2*$A43)))))/(B$3*(2*ACOS(1-2*$A43))/2))^(2.5*SQRT(К1!$H$9)-0.13-0.75*SQRT(((B$3^2/8*((2*ACOS(1-2*$A43))-SIN((2*ACOS(1-2*$A43)))))/(B$3*(2*ACOS(1-2*$A43))/2)))*(SQRT(К1!$H$9)-0.1))/К1!$H$9*SQRT(((B$3^2/8*((2*ACOS(1-2*$A43))-SIN((2*ACOS(1-2*$A43)))))/(B$3*(2*ACOS(1-2*$A43))/2))*B$4)</f>
        <v>2.52562280941757</v>
      </c>
      <c r="C43" s="17" t="n">
        <f aca="false">1000*(C$3^2/8*((2*ACOS(1-2*$A43))-SIN((2*ACOS(1-2*$A43)))))*((C$3^2/8*((2*ACOS(1-2*$A43))-SIN((2*ACOS(1-2*$A43)))))/(C$3*(2*ACOS(1-2*$A43))/2))^(2.5*SQRT(К1!$H$9)-0.13-0.75*SQRT(((C$3^2/8*((2*ACOS(1-2*$A43))-SIN((2*ACOS(1-2*$A43)))))/(C$3*(2*ACOS(1-2*$A43))/2)))*(SQRT(К1!$H$9)-0.1))/К1!$H$9*SQRT(((C$3^2/8*((2*ACOS(1-2*$A43))-SIN((2*ACOS(1-2*$A43)))))/(C$3*(2*ACOS(1-2*$A43))/2))*C$4)</f>
        <v>2.52562280941757</v>
      </c>
      <c r="D43" s="17" t="n">
        <f aca="false">1000*(D$3^2/8*((2*ACOS(1-2*$A43))-SIN((2*ACOS(1-2*$A43)))))*((D$3^2/8*((2*ACOS(1-2*$A43))-SIN((2*ACOS(1-2*$A43)))))/(D$3*(2*ACOS(1-2*$A43))/2))^(2.5*SQRT(К1!$H$9)-0.13-0.75*SQRT(((D$3^2/8*((2*ACOS(1-2*$A43))-SIN((2*ACOS(1-2*$A43)))))/(D$3*(2*ACOS(1-2*$A43))/2)))*(SQRT(К1!$H$9)-0.1))/К1!$H$9*SQRT(((D$3^2/8*((2*ACOS(1-2*$A43))-SIN((2*ACOS(1-2*$A43)))))/(D$3*(2*ACOS(1-2*$A43))/2))*D$4)</f>
        <v>4.71132022369872</v>
      </c>
      <c r="E43" s="17" t="n">
        <f aca="false">1000*(E$3^2/8*((2*ACOS(1-2*$A43))-SIN((2*ACOS(1-2*$A43)))))*((E$3^2/8*((2*ACOS(1-2*$A43))-SIN((2*ACOS(1-2*$A43)))))/(E$3*(2*ACOS(1-2*$A43))/2))^(2.5*SQRT(К1!$H$9)-0.13-0.75*SQRT(((E$3^2/8*((2*ACOS(1-2*$A43))-SIN((2*ACOS(1-2*$A43)))))/(E$3*(2*ACOS(1-2*$A43))/2)))*(SQRT(К1!$H$9)-0.1))/К1!$H$9*SQRT(((E$3^2/8*((2*ACOS(1-2*$A43))-SIN((2*ACOS(1-2*$A43)))))/(E$3*(2*ACOS(1-2*$A43))/2))*E$4)</f>
        <v>4.71132022369872</v>
      </c>
      <c r="F43" s="17" t="n">
        <f aca="false">1000*(F$3^2/8*((2*ACOS(1-2*$A43))-SIN((2*ACOS(1-2*$A43)))))*((F$3^2/8*((2*ACOS(1-2*$A43))-SIN((2*ACOS(1-2*$A43)))))/(F$3*(2*ACOS(1-2*$A43))/2))^(2.5*SQRT(К1!$H$9)-0.13-0.75*SQRT(((F$3^2/8*((2*ACOS(1-2*$A43))-SIN((2*ACOS(1-2*$A43)))))/(F$3*(2*ACOS(1-2*$A43))/2)))*(SQRT(К1!$H$9)-0.1))/К1!$H$9*SQRT(((F$3^2/8*((2*ACOS(1-2*$A43))-SIN((2*ACOS(1-2*$A43)))))/(F$3*(2*ACOS(1-2*$A43))/2))*F$4)</f>
        <v>4.71132022369872</v>
      </c>
    </row>
    <row r="44" customFormat="false" ht="15" hidden="false" customHeight="false" outlineLevel="0" collapsed="false">
      <c r="A44" s="16" t="n">
        <v>0.43</v>
      </c>
      <c r="B44" s="17" t="n">
        <f aca="false">1000*(B$3^2/8*((2*ACOS(1-2*$A44))-SIN((2*ACOS(1-2*$A44)))))*((B$3^2/8*((2*ACOS(1-2*$A44))-SIN((2*ACOS(1-2*$A44)))))/(B$3*(2*ACOS(1-2*$A44))/2))^(2.5*SQRT(К1!$H$9)-0.13-0.75*SQRT(((B$3^2/8*((2*ACOS(1-2*$A44))-SIN((2*ACOS(1-2*$A44)))))/(B$3*(2*ACOS(1-2*$A44))/2)))*(SQRT(К1!$H$9)-0.1))/К1!$H$9*SQRT(((B$3^2/8*((2*ACOS(1-2*$A44))-SIN((2*ACOS(1-2*$A44)))))/(B$3*(2*ACOS(1-2*$A44))/2))*B$4)</f>
        <v>2.6348650447341</v>
      </c>
      <c r="C44" s="17" t="n">
        <f aca="false">1000*(C$3^2/8*((2*ACOS(1-2*$A44))-SIN((2*ACOS(1-2*$A44)))))*((C$3^2/8*((2*ACOS(1-2*$A44))-SIN((2*ACOS(1-2*$A44)))))/(C$3*(2*ACOS(1-2*$A44))/2))^(2.5*SQRT(К1!$H$9)-0.13-0.75*SQRT(((C$3^2/8*((2*ACOS(1-2*$A44))-SIN((2*ACOS(1-2*$A44)))))/(C$3*(2*ACOS(1-2*$A44))/2)))*(SQRT(К1!$H$9)-0.1))/К1!$H$9*SQRT(((C$3^2/8*((2*ACOS(1-2*$A44))-SIN((2*ACOS(1-2*$A44)))))/(C$3*(2*ACOS(1-2*$A44))/2))*C$4)</f>
        <v>2.6348650447341</v>
      </c>
      <c r="D44" s="17" t="n">
        <f aca="false">1000*(D$3^2/8*((2*ACOS(1-2*$A44))-SIN((2*ACOS(1-2*$A44)))))*((D$3^2/8*((2*ACOS(1-2*$A44))-SIN((2*ACOS(1-2*$A44)))))/(D$3*(2*ACOS(1-2*$A44))/2))^(2.5*SQRT(К1!$H$9)-0.13-0.75*SQRT(((D$3^2/8*((2*ACOS(1-2*$A44))-SIN((2*ACOS(1-2*$A44)))))/(D$3*(2*ACOS(1-2*$A44))/2)))*(SQRT(К1!$H$9)-0.1))/К1!$H$9*SQRT(((D$3^2/8*((2*ACOS(1-2*$A44))-SIN((2*ACOS(1-2*$A44)))))/(D$3*(2*ACOS(1-2*$A44))/2))*D$4)</f>
        <v>4.91509385114205</v>
      </c>
      <c r="E44" s="17" t="n">
        <f aca="false">1000*(E$3^2/8*((2*ACOS(1-2*$A44))-SIN((2*ACOS(1-2*$A44)))))*((E$3^2/8*((2*ACOS(1-2*$A44))-SIN((2*ACOS(1-2*$A44)))))/(E$3*(2*ACOS(1-2*$A44))/2))^(2.5*SQRT(К1!$H$9)-0.13-0.75*SQRT(((E$3^2/8*((2*ACOS(1-2*$A44))-SIN((2*ACOS(1-2*$A44)))))/(E$3*(2*ACOS(1-2*$A44))/2)))*(SQRT(К1!$H$9)-0.1))/К1!$H$9*SQRT(((E$3^2/8*((2*ACOS(1-2*$A44))-SIN((2*ACOS(1-2*$A44)))))/(E$3*(2*ACOS(1-2*$A44))/2))*E$4)</f>
        <v>4.91509385114205</v>
      </c>
      <c r="F44" s="17" t="n">
        <f aca="false">1000*(F$3^2/8*((2*ACOS(1-2*$A44))-SIN((2*ACOS(1-2*$A44)))))*((F$3^2/8*((2*ACOS(1-2*$A44))-SIN((2*ACOS(1-2*$A44)))))/(F$3*(2*ACOS(1-2*$A44))/2))^(2.5*SQRT(К1!$H$9)-0.13-0.75*SQRT(((F$3^2/8*((2*ACOS(1-2*$A44))-SIN((2*ACOS(1-2*$A44)))))/(F$3*(2*ACOS(1-2*$A44))/2)))*(SQRT(К1!$H$9)-0.1))/К1!$H$9*SQRT(((F$3^2/8*((2*ACOS(1-2*$A44))-SIN((2*ACOS(1-2*$A44)))))/(F$3*(2*ACOS(1-2*$A44))/2))*F$4)</f>
        <v>4.91509385114205</v>
      </c>
    </row>
    <row r="45" customFormat="false" ht="15" hidden="false" customHeight="false" outlineLevel="0" collapsed="false">
      <c r="A45" s="16" t="n">
        <v>0.44</v>
      </c>
      <c r="B45" s="17" t="n">
        <f aca="false">1000*(B$3^2/8*((2*ACOS(1-2*$A45))-SIN((2*ACOS(1-2*$A45)))))*((B$3^2/8*((2*ACOS(1-2*$A45))-SIN((2*ACOS(1-2*$A45)))))/(B$3*(2*ACOS(1-2*$A45))/2))^(2.5*SQRT(К1!$H$9)-0.13-0.75*SQRT(((B$3^2/8*((2*ACOS(1-2*$A45))-SIN((2*ACOS(1-2*$A45)))))/(B$3*(2*ACOS(1-2*$A45))/2)))*(SQRT(К1!$H$9)-0.1))/К1!$H$9*SQRT(((B$3^2/8*((2*ACOS(1-2*$A45))-SIN((2*ACOS(1-2*$A45)))))/(B$3*(2*ACOS(1-2*$A45))/2))*B$4)</f>
        <v>2.74536538225249</v>
      </c>
      <c r="C45" s="17" t="n">
        <f aca="false">1000*(C$3^2/8*((2*ACOS(1-2*$A45))-SIN((2*ACOS(1-2*$A45)))))*((C$3^2/8*((2*ACOS(1-2*$A45))-SIN((2*ACOS(1-2*$A45)))))/(C$3*(2*ACOS(1-2*$A45))/2))^(2.5*SQRT(К1!$H$9)-0.13-0.75*SQRT(((C$3^2/8*((2*ACOS(1-2*$A45))-SIN((2*ACOS(1-2*$A45)))))/(C$3*(2*ACOS(1-2*$A45))/2)))*(SQRT(К1!$H$9)-0.1))/К1!$H$9*SQRT(((C$3^2/8*((2*ACOS(1-2*$A45))-SIN((2*ACOS(1-2*$A45)))))/(C$3*(2*ACOS(1-2*$A45))/2))*C$4)</f>
        <v>2.74536538225249</v>
      </c>
      <c r="D45" s="17" t="n">
        <f aca="false">1000*(D$3^2/8*((2*ACOS(1-2*$A45))-SIN((2*ACOS(1-2*$A45)))))*((D$3^2/8*((2*ACOS(1-2*$A45))-SIN((2*ACOS(1-2*$A45)))))/(D$3*(2*ACOS(1-2*$A45))/2))^(2.5*SQRT(К1!$H$9)-0.13-0.75*SQRT(((D$3^2/8*((2*ACOS(1-2*$A45))-SIN((2*ACOS(1-2*$A45)))))/(D$3*(2*ACOS(1-2*$A45))/2)))*(SQRT(К1!$H$9)-0.1))/К1!$H$9*SQRT(((D$3^2/8*((2*ACOS(1-2*$A45))-SIN((2*ACOS(1-2*$A45)))))/(D$3*(2*ACOS(1-2*$A45))/2))*D$4)</f>
        <v>5.12121360719727</v>
      </c>
      <c r="E45" s="17" t="n">
        <f aca="false">1000*(E$3^2/8*((2*ACOS(1-2*$A45))-SIN((2*ACOS(1-2*$A45)))))*((E$3^2/8*((2*ACOS(1-2*$A45))-SIN((2*ACOS(1-2*$A45)))))/(E$3*(2*ACOS(1-2*$A45))/2))^(2.5*SQRT(К1!$H$9)-0.13-0.75*SQRT(((E$3^2/8*((2*ACOS(1-2*$A45))-SIN((2*ACOS(1-2*$A45)))))/(E$3*(2*ACOS(1-2*$A45))/2)))*(SQRT(К1!$H$9)-0.1))/К1!$H$9*SQRT(((E$3^2/8*((2*ACOS(1-2*$A45))-SIN((2*ACOS(1-2*$A45)))))/(E$3*(2*ACOS(1-2*$A45))/2))*E$4)</f>
        <v>5.12121360719727</v>
      </c>
      <c r="F45" s="17" t="n">
        <f aca="false">1000*(F$3^2/8*((2*ACOS(1-2*$A45))-SIN((2*ACOS(1-2*$A45)))))*((F$3^2/8*((2*ACOS(1-2*$A45))-SIN((2*ACOS(1-2*$A45)))))/(F$3*(2*ACOS(1-2*$A45))/2))^(2.5*SQRT(К1!$H$9)-0.13-0.75*SQRT(((F$3^2/8*((2*ACOS(1-2*$A45))-SIN((2*ACOS(1-2*$A45)))))/(F$3*(2*ACOS(1-2*$A45))/2)))*(SQRT(К1!$H$9)-0.1))/К1!$H$9*SQRT(((F$3^2/8*((2*ACOS(1-2*$A45))-SIN((2*ACOS(1-2*$A45)))))/(F$3*(2*ACOS(1-2*$A45))/2))*F$4)</f>
        <v>5.12121360719727</v>
      </c>
    </row>
    <row r="46" customFormat="false" ht="15" hidden="false" customHeight="false" outlineLevel="0" collapsed="false">
      <c r="A46" s="16" t="n">
        <v>0.45</v>
      </c>
      <c r="B46" s="17" t="n">
        <f aca="false">1000*(B$3^2/8*((2*ACOS(1-2*$A46))-SIN((2*ACOS(1-2*$A46)))))*((B$3^2/8*((2*ACOS(1-2*$A46))-SIN((2*ACOS(1-2*$A46)))))/(B$3*(2*ACOS(1-2*$A46))/2))^(2.5*SQRT(К1!$H$9)-0.13-0.75*SQRT(((B$3^2/8*((2*ACOS(1-2*$A46))-SIN((2*ACOS(1-2*$A46)))))/(B$3*(2*ACOS(1-2*$A46))/2)))*(SQRT(К1!$H$9)-0.1))/К1!$H$9*SQRT(((B$3^2/8*((2*ACOS(1-2*$A46))-SIN((2*ACOS(1-2*$A46)))))/(B$3*(2*ACOS(1-2*$A46))/2))*B$4)</f>
        <v>2.8570365497511</v>
      </c>
      <c r="C46" s="17" t="n">
        <f aca="false">1000*(C$3^2/8*((2*ACOS(1-2*$A46))-SIN((2*ACOS(1-2*$A46)))))*((C$3^2/8*((2*ACOS(1-2*$A46))-SIN((2*ACOS(1-2*$A46)))))/(C$3*(2*ACOS(1-2*$A46))/2))^(2.5*SQRT(К1!$H$9)-0.13-0.75*SQRT(((C$3^2/8*((2*ACOS(1-2*$A46))-SIN((2*ACOS(1-2*$A46)))))/(C$3*(2*ACOS(1-2*$A46))/2)))*(SQRT(К1!$H$9)-0.1))/К1!$H$9*SQRT(((C$3^2/8*((2*ACOS(1-2*$A46))-SIN((2*ACOS(1-2*$A46)))))/(C$3*(2*ACOS(1-2*$A46))/2))*C$4)</f>
        <v>2.8570365497511</v>
      </c>
      <c r="D46" s="17" t="n">
        <f aca="false">1000*(D$3^2/8*((2*ACOS(1-2*$A46))-SIN((2*ACOS(1-2*$A46)))))*((D$3^2/8*((2*ACOS(1-2*$A46))-SIN((2*ACOS(1-2*$A46)))))/(D$3*(2*ACOS(1-2*$A46))/2))^(2.5*SQRT(К1!$H$9)-0.13-0.75*SQRT(((D$3^2/8*((2*ACOS(1-2*$A46))-SIN((2*ACOS(1-2*$A46)))))/(D$3*(2*ACOS(1-2*$A46))/2)))*(SQRT(К1!$H$9)-0.1))/К1!$H$9*SQRT(((D$3^2/8*((2*ACOS(1-2*$A46))-SIN((2*ACOS(1-2*$A46)))))/(D$3*(2*ACOS(1-2*$A46))/2))*D$4)</f>
        <v>5.32951669855236</v>
      </c>
      <c r="E46" s="17" t="n">
        <f aca="false">1000*(E$3^2/8*((2*ACOS(1-2*$A46))-SIN((2*ACOS(1-2*$A46)))))*((E$3^2/8*((2*ACOS(1-2*$A46))-SIN((2*ACOS(1-2*$A46)))))/(E$3*(2*ACOS(1-2*$A46))/2))^(2.5*SQRT(К1!$H$9)-0.13-0.75*SQRT(((E$3^2/8*((2*ACOS(1-2*$A46))-SIN((2*ACOS(1-2*$A46)))))/(E$3*(2*ACOS(1-2*$A46))/2)))*(SQRT(К1!$H$9)-0.1))/К1!$H$9*SQRT(((E$3^2/8*((2*ACOS(1-2*$A46))-SIN((2*ACOS(1-2*$A46)))))/(E$3*(2*ACOS(1-2*$A46))/2))*E$4)</f>
        <v>5.32951669855236</v>
      </c>
      <c r="F46" s="17" t="n">
        <f aca="false">1000*(F$3^2/8*((2*ACOS(1-2*$A46))-SIN((2*ACOS(1-2*$A46)))))*((F$3^2/8*((2*ACOS(1-2*$A46))-SIN((2*ACOS(1-2*$A46)))))/(F$3*(2*ACOS(1-2*$A46))/2))^(2.5*SQRT(К1!$H$9)-0.13-0.75*SQRT(((F$3^2/8*((2*ACOS(1-2*$A46))-SIN((2*ACOS(1-2*$A46)))))/(F$3*(2*ACOS(1-2*$A46))/2)))*(SQRT(К1!$H$9)-0.1))/К1!$H$9*SQRT(((F$3^2/8*((2*ACOS(1-2*$A46))-SIN((2*ACOS(1-2*$A46)))))/(F$3*(2*ACOS(1-2*$A46))/2))*F$4)</f>
        <v>5.32951669855236</v>
      </c>
    </row>
    <row r="47" customFormat="false" ht="15" hidden="false" customHeight="false" outlineLevel="0" collapsed="false">
      <c r="A47" s="16" t="n">
        <v>0.46</v>
      </c>
      <c r="B47" s="17" t="n">
        <f aca="false">1000*(B$3^2/8*((2*ACOS(1-2*$A47))-SIN((2*ACOS(1-2*$A47)))))*((B$3^2/8*((2*ACOS(1-2*$A47))-SIN((2*ACOS(1-2*$A47)))))/(B$3*(2*ACOS(1-2*$A47))/2))^(2.5*SQRT(К1!$H$9)-0.13-0.75*SQRT(((B$3^2/8*((2*ACOS(1-2*$A47))-SIN((2*ACOS(1-2*$A47)))))/(B$3*(2*ACOS(1-2*$A47))/2)))*(SQRT(К1!$H$9)-0.1))/К1!$H$9*SQRT(((B$3^2/8*((2*ACOS(1-2*$A47))-SIN((2*ACOS(1-2*$A47)))))/(B$3*(2*ACOS(1-2*$A47))/2))*B$4)</f>
        <v>2.96978995191463</v>
      </c>
      <c r="C47" s="17" t="n">
        <f aca="false">1000*(C$3^2/8*((2*ACOS(1-2*$A47))-SIN((2*ACOS(1-2*$A47)))))*((C$3^2/8*((2*ACOS(1-2*$A47))-SIN((2*ACOS(1-2*$A47)))))/(C$3*(2*ACOS(1-2*$A47))/2))^(2.5*SQRT(К1!$H$9)-0.13-0.75*SQRT(((C$3^2/8*((2*ACOS(1-2*$A47))-SIN((2*ACOS(1-2*$A47)))))/(C$3*(2*ACOS(1-2*$A47))/2)))*(SQRT(К1!$H$9)-0.1))/К1!$H$9*SQRT(((C$3^2/8*((2*ACOS(1-2*$A47))-SIN((2*ACOS(1-2*$A47)))))/(C$3*(2*ACOS(1-2*$A47))/2))*C$4)</f>
        <v>2.96978995191463</v>
      </c>
      <c r="D47" s="17" t="n">
        <f aca="false">1000*(D$3^2/8*((2*ACOS(1-2*$A47))-SIN((2*ACOS(1-2*$A47)))))*((D$3^2/8*((2*ACOS(1-2*$A47))-SIN((2*ACOS(1-2*$A47)))))/(D$3*(2*ACOS(1-2*$A47))/2))^(2.5*SQRT(К1!$H$9)-0.13-0.75*SQRT(((D$3^2/8*((2*ACOS(1-2*$A47))-SIN((2*ACOS(1-2*$A47)))))/(D$3*(2*ACOS(1-2*$A47))/2)))*(SQRT(К1!$H$9)-0.1))/К1!$H$9*SQRT(((D$3^2/8*((2*ACOS(1-2*$A47))-SIN((2*ACOS(1-2*$A47)))))/(D$3*(2*ACOS(1-2*$A47))/2))*D$4)</f>
        <v>5.53983786713149</v>
      </c>
      <c r="E47" s="17" t="n">
        <f aca="false">1000*(E$3^2/8*((2*ACOS(1-2*$A47))-SIN((2*ACOS(1-2*$A47)))))*((E$3^2/8*((2*ACOS(1-2*$A47))-SIN((2*ACOS(1-2*$A47)))))/(E$3*(2*ACOS(1-2*$A47))/2))^(2.5*SQRT(К1!$H$9)-0.13-0.75*SQRT(((E$3^2/8*((2*ACOS(1-2*$A47))-SIN((2*ACOS(1-2*$A47)))))/(E$3*(2*ACOS(1-2*$A47))/2)))*(SQRT(К1!$H$9)-0.1))/К1!$H$9*SQRT(((E$3^2/8*((2*ACOS(1-2*$A47))-SIN((2*ACOS(1-2*$A47)))))/(E$3*(2*ACOS(1-2*$A47))/2))*E$4)</f>
        <v>5.53983786713149</v>
      </c>
      <c r="F47" s="17" t="n">
        <f aca="false">1000*(F$3^2/8*((2*ACOS(1-2*$A47))-SIN((2*ACOS(1-2*$A47)))))*((F$3^2/8*((2*ACOS(1-2*$A47))-SIN((2*ACOS(1-2*$A47)))))/(F$3*(2*ACOS(1-2*$A47))/2))^(2.5*SQRT(К1!$H$9)-0.13-0.75*SQRT(((F$3^2/8*((2*ACOS(1-2*$A47))-SIN((2*ACOS(1-2*$A47)))))/(F$3*(2*ACOS(1-2*$A47))/2)))*(SQRT(К1!$H$9)-0.1))/К1!$H$9*SQRT(((F$3^2/8*((2*ACOS(1-2*$A47))-SIN((2*ACOS(1-2*$A47)))))/(F$3*(2*ACOS(1-2*$A47))/2))*F$4)</f>
        <v>5.53983786713149</v>
      </c>
    </row>
    <row r="48" customFormat="false" ht="15" hidden="false" customHeight="false" outlineLevel="0" collapsed="false">
      <c r="A48" s="16" t="n">
        <v>0.47</v>
      </c>
      <c r="B48" s="17" t="n">
        <f aca="false">1000*(B$3^2/8*((2*ACOS(1-2*$A48))-SIN((2*ACOS(1-2*$A48)))))*((B$3^2/8*((2*ACOS(1-2*$A48))-SIN((2*ACOS(1-2*$A48)))))/(B$3*(2*ACOS(1-2*$A48))/2))^(2.5*SQRT(К1!$H$9)-0.13-0.75*SQRT(((B$3^2/8*((2*ACOS(1-2*$A48))-SIN((2*ACOS(1-2*$A48)))))/(B$3*(2*ACOS(1-2*$A48))/2)))*(SQRT(К1!$H$9)-0.1))/К1!$H$9*SQRT(((B$3^2/8*((2*ACOS(1-2*$A48))-SIN((2*ACOS(1-2*$A48)))))/(B$3*(2*ACOS(1-2*$A48))/2))*B$4)</f>
        <v>3.08353565789073</v>
      </c>
      <c r="C48" s="17" t="n">
        <f aca="false">1000*(C$3^2/8*((2*ACOS(1-2*$A48))-SIN((2*ACOS(1-2*$A48)))))*((C$3^2/8*((2*ACOS(1-2*$A48))-SIN((2*ACOS(1-2*$A48)))))/(C$3*(2*ACOS(1-2*$A48))/2))^(2.5*SQRT(К1!$H$9)-0.13-0.75*SQRT(((C$3^2/8*((2*ACOS(1-2*$A48))-SIN((2*ACOS(1-2*$A48)))))/(C$3*(2*ACOS(1-2*$A48))/2)))*(SQRT(К1!$H$9)-0.1))/К1!$H$9*SQRT(((C$3^2/8*((2*ACOS(1-2*$A48))-SIN((2*ACOS(1-2*$A48)))))/(C$3*(2*ACOS(1-2*$A48))/2))*C$4)</f>
        <v>3.08353565789073</v>
      </c>
      <c r="D48" s="17" t="n">
        <f aca="false">1000*(D$3^2/8*((2*ACOS(1-2*$A48))-SIN((2*ACOS(1-2*$A48)))))*((D$3^2/8*((2*ACOS(1-2*$A48))-SIN((2*ACOS(1-2*$A48)))))/(D$3*(2*ACOS(1-2*$A48))/2))^(2.5*SQRT(К1!$H$9)-0.13-0.75*SQRT(((D$3^2/8*((2*ACOS(1-2*$A48))-SIN((2*ACOS(1-2*$A48)))))/(D$3*(2*ACOS(1-2*$A48))/2)))*(SQRT(К1!$H$9)-0.1))/К1!$H$9*SQRT(((D$3^2/8*((2*ACOS(1-2*$A48))-SIN((2*ACOS(1-2*$A48)))))/(D$3*(2*ACOS(1-2*$A48))/2))*D$4)</f>
        <v>5.75200936686177</v>
      </c>
      <c r="E48" s="17" t="n">
        <f aca="false">1000*(E$3^2/8*((2*ACOS(1-2*$A48))-SIN((2*ACOS(1-2*$A48)))))*((E$3^2/8*((2*ACOS(1-2*$A48))-SIN((2*ACOS(1-2*$A48)))))/(E$3*(2*ACOS(1-2*$A48))/2))^(2.5*SQRT(К1!$H$9)-0.13-0.75*SQRT(((E$3^2/8*((2*ACOS(1-2*$A48))-SIN((2*ACOS(1-2*$A48)))))/(E$3*(2*ACOS(1-2*$A48))/2)))*(SQRT(К1!$H$9)-0.1))/К1!$H$9*SQRT(((E$3^2/8*((2*ACOS(1-2*$A48))-SIN((2*ACOS(1-2*$A48)))))/(E$3*(2*ACOS(1-2*$A48))/2))*E$4)</f>
        <v>5.75200936686177</v>
      </c>
      <c r="F48" s="17" t="n">
        <f aca="false">1000*(F$3^2/8*((2*ACOS(1-2*$A48))-SIN((2*ACOS(1-2*$A48)))))*((F$3^2/8*((2*ACOS(1-2*$A48))-SIN((2*ACOS(1-2*$A48)))))/(F$3*(2*ACOS(1-2*$A48))/2))^(2.5*SQRT(К1!$H$9)-0.13-0.75*SQRT(((F$3^2/8*((2*ACOS(1-2*$A48))-SIN((2*ACOS(1-2*$A48)))))/(F$3*(2*ACOS(1-2*$A48))/2)))*(SQRT(К1!$H$9)-0.1))/К1!$H$9*SQRT(((F$3^2/8*((2*ACOS(1-2*$A48))-SIN((2*ACOS(1-2*$A48)))))/(F$3*(2*ACOS(1-2*$A48))/2))*F$4)</f>
        <v>5.75200936686177</v>
      </c>
    </row>
    <row r="49" customFormat="false" ht="15" hidden="false" customHeight="false" outlineLevel="0" collapsed="false">
      <c r="A49" s="16" t="n">
        <v>0.48</v>
      </c>
      <c r="B49" s="17" t="n">
        <f aca="false">1000*(B$3^2/8*((2*ACOS(1-2*$A49))-SIN((2*ACOS(1-2*$A49)))))*((B$3^2/8*((2*ACOS(1-2*$A49))-SIN((2*ACOS(1-2*$A49)))))/(B$3*(2*ACOS(1-2*$A49))/2))^(2.5*SQRT(К1!$H$9)-0.13-0.75*SQRT(((B$3^2/8*((2*ACOS(1-2*$A49))-SIN((2*ACOS(1-2*$A49)))))/(B$3*(2*ACOS(1-2*$A49))/2)))*(SQRT(К1!$H$9)-0.1))/К1!$H$9*SQRT(((B$3^2/8*((2*ACOS(1-2*$A49))-SIN((2*ACOS(1-2*$A49)))))/(B$3*(2*ACOS(1-2*$A49))/2))*B$4)</f>
        <v>3.19818238521497</v>
      </c>
      <c r="C49" s="17" t="n">
        <f aca="false">1000*(C$3^2/8*((2*ACOS(1-2*$A49))-SIN((2*ACOS(1-2*$A49)))))*((C$3^2/8*((2*ACOS(1-2*$A49))-SIN((2*ACOS(1-2*$A49)))))/(C$3*(2*ACOS(1-2*$A49))/2))^(2.5*SQRT(К1!$H$9)-0.13-0.75*SQRT(((C$3^2/8*((2*ACOS(1-2*$A49))-SIN((2*ACOS(1-2*$A49)))))/(C$3*(2*ACOS(1-2*$A49))/2)))*(SQRT(К1!$H$9)-0.1))/К1!$H$9*SQRT(((C$3^2/8*((2*ACOS(1-2*$A49))-SIN((2*ACOS(1-2*$A49)))))/(C$3*(2*ACOS(1-2*$A49))/2))*C$4)</f>
        <v>3.19818238521497</v>
      </c>
      <c r="D49" s="17" t="n">
        <f aca="false">1000*(D$3^2/8*((2*ACOS(1-2*$A49))-SIN((2*ACOS(1-2*$A49)))))*((D$3^2/8*((2*ACOS(1-2*$A49))-SIN((2*ACOS(1-2*$A49)))))/(D$3*(2*ACOS(1-2*$A49))/2))^(2.5*SQRT(К1!$H$9)-0.13-0.75*SQRT(((D$3^2/8*((2*ACOS(1-2*$A49))-SIN((2*ACOS(1-2*$A49)))))/(D$3*(2*ACOS(1-2*$A49))/2)))*(SQRT(К1!$H$9)-0.1))/К1!$H$9*SQRT(((D$3^2/8*((2*ACOS(1-2*$A49))-SIN((2*ACOS(1-2*$A49)))))/(D$3*(2*ACOS(1-2*$A49))/2))*D$4)</f>
        <v>5.96586093366093</v>
      </c>
      <c r="E49" s="17" t="n">
        <f aca="false">1000*(E$3^2/8*((2*ACOS(1-2*$A49))-SIN((2*ACOS(1-2*$A49)))))*((E$3^2/8*((2*ACOS(1-2*$A49))-SIN((2*ACOS(1-2*$A49)))))/(E$3*(2*ACOS(1-2*$A49))/2))^(2.5*SQRT(К1!$H$9)-0.13-0.75*SQRT(((E$3^2/8*((2*ACOS(1-2*$A49))-SIN((2*ACOS(1-2*$A49)))))/(E$3*(2*ACOS(1-2*$A49))/2)))*(SQRT(К1!$H$9)-0.1))/К1!$H$9*SQRT(((E$3^2/8*((2*ACOS(1-2*$A49))-SIN((2*ACOS(1-2*$A49)))))/(E$3*(2*ACOS(1-2*$A49))/2))*E$4)</f>
        <v>5.96586093366093</v>
      </c>
      <c r="F49" s="17" t="n">
        <f aca="false">1000*(F$3^2/8*((2*ACOS(1-2*$A49))-SIN((2*ACOS(1-2*$A49)))))*((F$3^2/8*((2*ACOS(1-2*$A49))-SIN((2*ACOS(1-2*$A49)))))/(F$3*(2*ACOS(1-2*$A49))/2))^(2.5*SQRT(К1!$H$9)-0.13-0.75*SQRT(((F$3^2/8*((2*ACOS(1-2*$A49))-SIN((2*ACOS(1-2*$A49)))))/(F$3*(2*ACOS(1-2*$A49))/2)))*(SQRT(К1!$H$9)-0.1))/К1!$H$9*SQRT(((F$3^2/8*((2*ACOS(1-2*$A49))-SIN((2*ACOS(1-2*$A49)))))/(F$3*(2*ACOS(1-2*$A49))/2))*F$4)</f>
        <v>5.96586093366093</v>
      </c>
    </row>
    <row r="50" customFormat="false" ht="15" hidden="false" customHeight="false" outlineLevel="0" collapsed="false">
      <c r="A50" s="16" t="n">
        <v>0.49</v>
      </c>
      <c r="B50" s="17" t="n">
        <f aca="false">1000*(B$3^2/8*((2*ACOS(1-2*$A50))-SIN((2*ACOS(1-2*$A50)))))*((B$3^2/8*((2*ACOS(1-2*$A50))-SIN((2*ACOS(1-2*$A50)))))/(B$3*(2*ACOS(1-2*$A50))/2))^(2.5*SQRT(К1!$H$9)-0.13-0.75*SQRT(((B$3^2/8*((2*ACOS(1-2*$A50))-SIN((2*ACOS(1-2*$A50)))))/(B$3*(2*ACOS(1-2*$A50))/2)))*(SQRT(К1!$H$9)-0.1))/К1!$H$9*SQRT(((B$3^2/8*((2*ACOS(1-2*$A50))-SIN((2*ACOS(1-2*$A50)))))/(B$3*(2*ACOS(1-2*$A50))/2))*B$4)</f>
        <v>3.31363747995415</v>
      </c>
      <c r="C50" s="17" t="n">
        <f aca="false">1000*(C$3^2/8*((2*ACOS(1-2*$A50))-SIN((2*ACOS(1-2*$A50)))))*((C$3^2/8*((2*ACOS(1-2*$A50))-SIN((2*ACOS(1-2*$A50)))))/(C$3*(2*ACOS(1-2*$A50))/2))^(2.5*SQRT(К1!$H$9)-0.13-0.75*SQRT(((C$3^2/8*((2*ACOS(1-2*$A50))-SIN((2*ACOS(1-2*$A50)))))/(C$3*(2*ACOS(1-2*$A50))/2)))*(SQRT(К1!$H$9)-0.1))/К1!$H$9*SQRT(((C$3^2/8*((2*ACOS(1-2*$A50))-SIN((2*ACOS(1-2*$A50)))))/(C$3*(2*ACOS(1-2*$A50))/2))*C$4)</f>
        <v>3.31363747995415</v>
      </c>
      <c r="D50" s="17" t="n">
        <f aca="false">1000*(D$3^2/8*((2*ACOS(1-2*$A50))-SIN((2*ACOS(1-2*$A50)))))*((D$3^2/8*((2*ACOS(1-2*$A50))-SIN((2*ACOS(1-2*$A50)))))/(D$3*(2*ACOS(1-2*$A50))/2))^(2.5*SQRT(К1!$H$9)-0.13-0.75*SQRT(((D$3^2/8*((2*ACOS(1-2*$A50))-SIN((2*ACOS(1-2*$A50)))))/(D$3*(2*ACOS(1-2*$A50))/2)))*(SQRT(К1!$H$9)-0.1))/К1!$H$9*SQRT(((D$3^2/8*((2*ACOS(1-2*$A50))-SIN((2*ACOS(1-2*$A50)))))/(D$3*(2*ACOS(1-2*$A50))/2))*D$4)</f>
        <v>6.18121974836622</v>
      </c>
      <c r="E50" s="17" t="n">
        <f aca="false">1000*(E$3^2/8*((2*ACOS(1-2*$A50))-SIN((2*ACOS(1-2*$A50)))))*((E$3^2/8*((2*ACOS(1-2*$A50))-SIN((2*ACOS(1-2*$A50)))))/(E$3*(2*ACOS(1-2*$A50))/2))^(2.5*SQRT(К1!$H$9)-0.13-0.75*SQRT(((E$3^2/8*((2*ACOS(1-2*$A50))-SIN((2*ACOS(1-2*$A50)))))/(E$3*(2*ACOS(1-2*$A50))/2)))*(SQRT(К1!$H$9)-0.1))/К1!$H$9*SQRT(((E$3^2/8*((2*ACOS(1-2*$A50))-SIN((2*ACOS(1-2*$A50)))))/(E$3*(2*ACOS(1-2*$A50))/2))*E$4)</f>
        <v>6.18121974836622</v>
      </c>
      <c r="F50" s="17" t="n">
        <f aca="false">1000*(F$3^2/8*((2*ACOS(1-2*$A50))-SIN((2*ACOS(1-2*$A50)))))*((F$3^2/8*((2*ACOS(1-2*$A50))-SIN((2*ACOS(1-2*$A50)))))/(F$3*(2*ACOS(1-2*$A50))/2))^(2.5*SQRT(К1!$H$9)-0.13-0.75*SQRT(((F$3^2/8*((2*ACOS(1-2*$A50))-SIN((2*ACOS(1-2*$A50)))))/(F$3*(2*ACOS(1-2*$A50))/2)))*(SQRT(К1!$H$9)-0.1))/К1!$H$9*SQRT(((F$3^2/8*((2*ACOS(1-2*$A50))-SIN((2*ACOS(1-2*$A50)))))/(F$3*(2*ACOS(1-2*$A50))/2))*F$4)</f>
        <v>6.18121974836622</v>
      </c>
    </row>
    <row r="51" customFormat="false" ht="15" hidden="false" customHeight="false" outlineLevel="0" collapsed="false">
      <c r="A51" s="16" t="n">
        <v>0.5</v>
      </c>
      <c r="B51" s="17" t="n">
        <f aca="false">1000*(B$3^2/8*((2*ACOS(1-2*$A51))-SIN((2*ACOS(1-2*$A51)))))*((B$3^2/8*((2*ACOS(1-2*$A51))-SIN((2*ACOS(1-2*$A51)))))/(B$3*(2*ACOS(1-2*$A51))/2))^(2.5*SQRT(К1!$H$9)-0.13-0.75*SQRT(((B$3^2/8*((2*ACOS(1-2*$A51))-SIN((2*ACOS(1-2*$A51)))))/(B$3*(2*ACOS(1-2*$A51))/2)))*(SQRT(К1!$H$9)-0.1))/К1!$H$9*SQRT(((B$3^2/8*((2*ACOS(1-2*$A51))-SIN((2*ACOS(1-2*$A51)))))/(B$3*(2*ACOS(1-2*$A51))/2))*B$4)</f>
        <v>3.42980689288154</v>
      </c>
      <c r="C51" s="17" t="n">
        <f aca="false">1000*(C$3^2/8*((2*ACOS(1-2*$A51))-SIN((2*ACOS(1-2*$A51)))))*((C$3^2/8*((2*ACOS(1-2*$A51))-SIN((2*ACOS(1-2*$A51)))))/(C$3*(2*ACOS(1-2*$A51))/2))^(2.5*SQRT(К1!$H$9)-0.13-0.75*SQRT(((C$3^2/8*((2*ACOS(1-2*$A51))-SIN((2*ACOS(1-2*$A51)))))/(C$3*(2*ACOS(1-2*$A51))/2)))*(SQRT(К1!$H$9)-0.1))/К1!$H$9*SQRT(((C$3^2/8*((2*ACOS(1-2*$A51))-SIN((2*ACOS(1-2*$A51)))))/(C$3*(2*ACOS(1-2*$A51))/2))*C$4)</f>
        <v>3.42980689288154</v>
      </c>
      <c r="D51" s="17" t="n">
        <f aca="false">1000*(D$3^2/8*((2*ACOS(1-2*$A51))-SIN((2*ACOS(1-2*$A51)))))*((D$3^2/8*((2*ACOS(1-2*$A51))-SIN((2*ACOS(1-2*$A51)))))/(D$3*(2*ACOS(1-2*$A51))/2))^(2.5*SQRT(К1!$H$9)-0.13-0.75*SQRT(((D$3^2/8*((2*ACOS(1-2*$A51))-SIN((2*ACOS(1-2*$A51)))))/(D$3*(2*ACOS(1-2*$A51))/2)))*(SQRT(К1!$H$9)-0.1))/К1!$H$9*SQRT(((D$3^2/8*((2*ACOS(1-2*$A51))-SIN((2*ACOS(1-2*$A51)))))/(D$3*(2*ACOS(1-2*$A51))/2))*D$4)</f>
        <v>6.39791039225723</v>
      </c>
      <c r="E51" s="17" t="n">
        <f aca="false">1000*(E$3^2/8*((2*ACOS(1-2*$A51))-SIN((2*ACOS(1-2*$A51)))))*((E$3^2/8*((2*ACOS(1-2*$A51))-SIN((2*ACOS(1-2*$A51)))))/(E$3*(2*ACOS(1-2*$A51))/2))^(2.5*SQRT(К1!$H$9)-0.13-0.75*SQRT(((E$3^2/8*((2*ACOS(1-2*$A51))-SIN((2*ACOS(1-2*$A51)))))/(E$3*(2*ACOS(1-2*$A51))/2)))*(SQRT(К1!$H$9)-0.1))/К1!$H$9*SQRT(((E$3^2/8*((2*ACOS(1-2*$A51))-SIN((2*ACOS(1-2*$A51)))))/(E$3*(2*ACOS(1-2*$A51))/2))*E$4)</f>
        <v>6.39791039225723</v>
      </c>
      <c r="F51" s="17" t="n">
        <f aca="false">1000*(F$3^2/8*((2*ACOS(1-2*$A51))-SIN((2*ACOS(1-2*$A51)))))*((F$3^2/8*((2*ACOS(1-2*$A51))-SIN((2*ACOS(1-2*$A51)))))/(F$3*(2*ACOS(1-2*$A51))/2))^(2.5*SQRT(К1!$H$9)-0.13-0.75*SQRT(((F$3^2/8*((2*ACOS(1-2*$A51))-SIN((2*ACOS(1-2*$A51)))))/(F$3*(2*ACOS(1-2*$A51))/2)))*(SQRT(К1!$H$9)-0.1))/К1!$H$9*SQRT(((F$3^2/8*((2*ACOS(1-2*$A51))-SIN((2*ACOS(1-2*$A51)))))/(F$3*(2*ACOS(1-2*$A51))/2))*F$4)</f>
        <v>6.39791039225723</v>
      </c>
    </row>
    <row r="52" customFormat="false" ht="15" hidden="false" customHeight="false" outlineLevel="0" collapsed="false">
      <c r="A52" s="16" t="n">
        <v>0.51</v>
      </c>
      <c r="B52" s="17" t="n">
        <f aca="false">1000*(B$3^2/8*((2*ACOS(1-2*$A52))-SIN((2*ACOS(1-2*$A52)))))*((B$3^2/8*((2*ACOS(1-2*$A52))-SIN((2*ACOS(1-2*$A52)))))/(B$3*(2*ACOS(1-2*$A52))/2))^(2.5*SQRT(К1!$H$9)-0.13-0.75*SQRT(((B$3^2/8*((2*ACOS(1-2*$A52))-SIN((2*ACOS(1-2*$A52)))))/(B$3*(2*ACOS(1-2*$A52))/2)))*(SQRT(К1!$H$9)-0.1))/К1!$H$9*SQRT(((B$3^2/8*((2*ACOS(1-2*$A52))-SIN((2*ACOS(1-2*$A52)))))/(B$3*(2*ACOS(1-2*$A52))/2))*B$4)</f>
        <v>3.5465951514582</v>
      </c>
      <c r="C52" s="17" t="n">
        <f aca="false">1000*(C$3^2/8*((2*ACOS(1-2*$A52))-SIN((2*ACOS(1-2*$A52)))))*((C$3^2/8*((2*ACOS(1-2*$A52))-SIN((2*ACOS(1-2*$A52)))))/(C$3*(2*ACOS(1-2*$A52))/2))^(2.5*SQRT(К1!$H$9)-0.13-0.75*SQRT(((C$3^2/8*((2*ACOS(1-2*$A52))-SIN((2*ACOS(1-2*$A52)))))/(C$3*(2*ACOS(1-2*$A52))/2)))*(SQRT(К1!$H$9)-0.1))/К1!$H$9*SQRT(((C$3^2/8*((2*ACOS(1-2*$A52))-SIN((2*ACOS(1-2*$A52)))))/(C$3*(2*ACOS(1-2*$A52))/2))*C$4)</f>
        <v>3.5465951514582</v>
      </c>
      <c r="D52" s="17" t="n">
        <f aca="false">1000*(D$3^2/8*((2*ACOS(1-2*$A52))-SIN((2*ACOS(1-2*$A52)))))*((D$3^2/8*((2*ACOS(1-2*$A52))-SIN((2*ACOS(1-2*$A52)))))/(D$3*(2*ACOS(1-2*$A52))/2))^(2.5*SQRT(К1!$H$9)-0.13-0.75*SQRT(((D$3^2/8*((2*ACOS(1-2*$A52))-SIN((2*ACOS(1-2*$A52)))))/(D$3*(2*ACOS(1-2*$A52))/2)))*(SQRT(К1!$H$9)-0.1))/К1!$H$9*SQRT(((D$3^2/8*((2*ACOS(1-2*$A52))-SIN((2*ACOS(1-2*$A52)))))/(D$3*(2*ACOS(1-2*$A52))/2))*D$4)</f>
        <v>6.61575479475142</v>
      </c>
      <c r="E52" s="17" t="n">
        <f aca="false">1000*(E$3^2/8*((2*ACOS(1-2*$A52))-SIN((2*ACOS(1-2*$A52)))))*((E$3^2/8*((2*ACOS(1-2*$A52))-SIN((2*ACOS(1-2*$A52)))))/(E$3*(2*ACOS(1-2*$A52))/2))^(2.5*SQRT(К1!$H$9)-0.13-0.75*SQRT(((E$3^2/8*((2*ACOS(1-2*$A52))-SIN((2*ACOS(1-2*$A52)))))/(E$3*(2*ACOS(1-2*$A52))/2)))*(SQRT(К1!$H$9)-0.1))/К1!$H$9*SQRT(((E$3^2/8*((2*ACOS(1-2*$A52))-SIN((2*ACOS(1-2*$A52)))))/(E$3*(2*ACOS(1-2*$A52))/2))*E$4)</f>
        <v>6.61575479475142</v>
      </c>
      <c r="F52" s="17" t="n">
        <f aca="false">1000*(F$3^2/8*((2*ACOS(1-2*$A52))-SIN((2*ACOS(1-2*$A52)))))*((F$3^2/8*((2*ACOS(1-2*$A52))-SIN((2*ACOS(1-2*$A52)))))/(F$3*(2*ACOS(1-2*$A52))/2))^(2.5*SQRT(К1!$H$9)-0.13-0.75*SQRT(((F$3^2/8*((2*ACOS(1-2*$A52))-SIN((2*ACOS(1-2*$A52)))))/(F$3*(2*ACOS(1-2*$A52))/2)))*(SQRT(К1!$H$9)-0.1))/К1!$H$9*SQRT(((F$3^2/8*((2*ACOS(1-2*$A52))-SIN((2*ACOS(1-2*$A52)))))/(F$3*(2*ACOS(1-2*$A52))/2))*F$4)</f>
        <v>6.61575479475142</v>
      </c>
    </row>
    <row r="53" customFormat="false" ht="15" hidden="false" customHeight="false" outlineLevel="0" collapsed="false">
      <c r="A53" s="16" t="n">
        <v>0.52</v>
      </c>
      <c r="B53" s="17" t="n">
        <f aca="false">1000*(B$3^2/8*((2*ACOS(1-2*$A53))-SIN((2*ACOS(1-2*$A53)))))*((B$3^2/8*((2*ACOS(1-2*$A53))-SIN((2*ACOS(1-2*$A53)))))/(B$3*(2*ACOS(1-2*$A53))/2))^(2.5*SQRT(К1!$H$9)-0.13-0.75*SQRT(((B$3^2/8*((2*ACOS(1-2*$A53))-SIN((2*ACOS(1-2*$A53)))))/(B$3*(2*ACOS(1-2*$A53))/2)))*(SQRT(К1!$H$9)-0.1))/К1!$H$9*SQRT(((B$3^2/8*((2*ACOS(1-2*$A53))-SIN((2*ACOS(1-2*$A53)))))/(B$3*(2*ACOS(1-2*$A53))/2))*B$4)</f>
        <v>3.66390532735115</v>
      </c>
      <c r="C53" s="17" t="n">
        <f aca="false">1000*(C$3^2/8*((2*ACOS(1-2*$A53))-SIN((2*ACOS(1-2*$A53)))))*((C$3^2/8*((2*ACOS(1-2*$A53))-SIN((2*ACOS(1-2*$A53)))))/(C$3*(2*ACOS(1-2*$A53))/2))^(2.5*SQRT(К1!$H$9)-0.13-0.75*SQRT(((C$3^2/8*((2*ACOS(1-2*$A53))-SIN((2*ACOS(1-2*$A53)))))/(C$3*(2*ACOS(1-2*$A53))/2)))*(SQRT(К1!$H$9)-0.1))/К1!$H$9*SQRT(((C$3^2/8*((2*ACOS(1-2*$A53))-SIN((2*ACOS(1-2*$A53)))))/(C$3*(2*ACOS(1-2*$A53))/2))*C$4)</f>
        <v>3.66390532735115</v>
      </c>
      <c r="D53" s="17" t="n">
        <f aca="false">1000*(D$3^2/8*((2*ACOS(1-2*$A53))-SIN((2*ACOS(1-2*$A53)))))*((D$3^2/8*((2*ACOS(1-2*$A53))-SIN((2*ACOS(1-2*$A53)))))/(D$3*(2*ACOS(1-2*$A53))/2))^(2.5*SQRT(К1!$H$9)-0.13-0.75*SQRT(((D$3^2/8*((2*ACOS(1-2*$A53))-SIN((2*ACOS(1-2*$A53)))))/(D$3*(2*ACOS(1-2*$A53))/2)))*(SQRT(К1!$H$9)-0.1))/К1!$H$9*SQRT(((D$3^2/8*((2*ACOS(1-2*$A53))-SIN((2*ACOS(1-2*$A53)))))/(D$3*(2*ACOS(1-2*$A53))/2))*D$4)</f>
        <v>6.8345721727707</v>
      </c>
      <c r="E53" s="17" t="n">
        <f aca="false">1000*(E$3^2/8*((2*ACOS(1-2*$A53))-SIN((2*ACOS(1-2*$A53)))))*((E$3^2/8*((2*ACOS(1-2*$A53))-SIN((2*ACOS(1-2*$A53)))))/(E$3*(2*ACOS(1-2*$A53))/2))^(2.5*SQRT(К1!$H$9)-0.13-0.75*SQRT(((E$3^2/8*((2*ACOS(1-2*$A53))-SIN((2*ACOS(1-2*$A53)))))/(E$3*(2*ACOS(1-2*$A53))/2)))*(SQRT(К1!$H$9)-0.1))/К1!$H$9*SQRT(((E$3^2/8*((2*ACOS(1-2*$A53))-SIN((2*ACOS(1-2*$A53)))))/(E$3*(2*ACOS(1-2*$A53))/2))*E$4)</f>
        <v>6.8345721727707</v>
      </c>
      <c r="F53" s="17" t="n">
        <f aca="false">1000*(F$3^2/8*((2*ACOS(1-2*$A53))-SIN((2*ACOS(1-2*$A53)))))*((F$3^2/8*((2*ACOS(1-2*$A53))-SIN((2*ACOS(1-2*$A53)))))/(F$3*(2*ACOS(1-2*$A53))/2))^(2.5*SQRT(К1!$H$9)-0.13-0.75*SQRT(((F$3^2/8*((2*ACOS(1-2*$A53))-SIN((2*ACOS(1-2*$A53)))))/(F$3*(2*ACOS(1-2*$A53))/2)))*(SQRT(К1!$H$9)-0.1))/К1!$H$9*SQRT(((F$3^2/8*((2*ACOS(1-2*$A53))-SIN((2*ACOS(1-2*$A53)))))/(F$3*(2*ACOS(1-2*$A53))/2))*F$4)</f>
        <v>6.8345721727707</v>
      </c>
    </row>
    <row r="54" customFormat="false" ht="15" hidden="false" customHeight="false" outlineLevel="0" collapsed="false">
      <c r="A54" s="16" t="n">
        <v>0.53</v>
      </c>
      <c r="B54" s="17" t="n">
        <f aca="false">1000*(B$3^2/8*((2*ACOS(1-2*$A54))-SIN((2*ACOS(1-2*$A54)))))*((B$3^2/8*((2*ACOS(1-2*$A54))-SIN((2*ACOS(1-2*$A54)))))/(B$3*(2*ACOS(1-2*$A54))/2))^(2.5*SQRT(К1!$H$9)-0.13-0.75*SQRT(((B$3^2/8*((2*ACOS(1-2*$A54))-SIN((2*ACOS(1-2*$A54)))))/(B$3*(2*ACOS(1-2*$A54))/2)))*(SQRT(К1!$H$9)-0.1))/К1!$H$9*SQRT(((B$3^2/8*((2*ACOS(1-2*$A54))-SIN((2*ACOS(1-2*$A54)))))/(B$3*(2*ACOS(1-2*$A54))/2))*B$4)</f>
        <v>3.78163899917147</v>
      </c>
      <c r="C54" s="17" t="n">
        <f aca="false">1000*(C$3^2/8*((2*ACOS(1-2*$A54))-SIN((2*ACOS(1-2*$A54)))))*((C$3^2/8*((2*ACOS(1-2*$A54))-SIN((2*ACOS(1-2*$A54)))))/(C$3*(2*ACOS(1-2*$A54))/2))^(2.5*SQRT(К1!$H$9)-0.13-0.75*SQRT(((C$3^2/8*((2*ACOS(1-2*$A54))-SIN((2*ACOS(1-2*$A54)))))/(C$3*(2*ACOS(1-2*$A54))/2)))*(SQRT(К1!$H$9)-0.1))/К1!$H$9*SQRT(((C$3^2/8*((2*ACOS(1-2*$A54))-SIN((2*ACOS(1-2*$A54)))))/(C$3*(2*ACOS(1-2*$A54))/2))*C$4)</f>
        <v>3.78163899917147</v>
      </c>
      <c r="D54" s="17" t="n">
        <f aca="false">1000*(D$3^2/8*((2*ACOS(1-2*$A54))-SIN((2*ACOS(1-2*$A54)))))*((D$3^2/8*((2*ACOS(1-2*$A54))-SIN((2*ACOS(1-2*$A54)))))/(D$3*(2*ACOS(1-2*$A54))/2))^(2.5*SQRT(К1!$H$9)-0.13-0.75*SQRT(((D$3^2/8*((2*ACOS(1-2*$A54))-SIN((2*ACOS(1-2*$A54)))))/(D$3*(2*ACOS(1-2*$A54))/2)))*(SQRT(К1!$H$9)-0.1))/К1!$H$9*SQRT(((D$3^2/8*((2*ACOS(1-2*$A54))-SIN((2*ACOS(1-2*$A54)))))/(D$3*(2*ACOS(1-2*$A54))/2))*D$4)</f>
        <v>7.05417896118786</v>
      </c>
      <c r="E54" s="17" t="n">
        <f aca="false">1000*(E$3^2/8*((2*ACOS(1-2*$A54))-SIN((2*ACOS(1-2*$A54)))))*((E$3^2/8*((2*ACOS(1-2*$A54))-SIN((2*ACOS(1-2*$A54)))))/(E$3*(2*ACOS(1-2*$A54))/2))^(2.5*SQRT(К1!$H$9)-0.13-0.75*SQRT(((E$3^2/8*((2*ACOS(1-2*$A54))-SIN((2*ACOS(1-2*$A54)))))/(E$3*(2*ACOS(1-2*$A54))/2)))*(SQRT(К1!$H$9)-0.1))/К1!$H$9*SQRT(((E$3^2/8*((2*ACOS(1-2*$A54))-SIN((2*ACOS(1-2*$A54)))))/(E$3*(2*ACOS(1-2*$A54))/2))*E$4)</f>
        <v>7.05417896118786</v>
      </c>
      <c r="F54" s="17" t="n">
        <f aca="false">1000*(F$3^2/8*((2*ACOS(1-2*$A54))-SIN((2*ACOS(1-2*$A54)))))*((F$3^2/8*((2*ACOS(1-2*$A54))-SIN((2*ACOS(1-2*$A54)))))/(F$3*(2*ACOS(1-2*$A54))/2))^(2.5*SQRT(К1!$H$9)-0.13-0.75*SQRT(((F$3^2/8*((2*ACOS(1-2*$A54))-SIN((2*ACOS(1-2*$A54)))))/(F$3*(2*ACOS(1-2*$A54))/2)))*(SQRT(К1!$H$9)-0.1))/К1!$H$9*SQRT(((F$3^2/8*((2*ACOS(1-2*$A54))-SIN((2*ACOS(1-2*$A54)))))/(F$3*(2*ACOS(1-2*$A54))/2))*F$4)</f>
        <v>7.05417896118786</v>
      </c>
    </row>
    <row r="55" customFormat="false" ht="15" hidden="false" customHeight="false" outlineLevel="0" collapsed="false">
      <c r="A55" s="16" t="n">
        <v>0.54</v>
      </c>
      <c r="B55" s="17" t="n">
        <f aca="false">1000*(B$3^2/8*((2*ACOS(1-2*$A55))-SIN((2*ACOS(1-2*$A55)))))*((B$3^2/8*((2*ACOS(1-2*$A55))-SIN((2*ACOS(1-2*$A55)))))/(B$3*(2*ACOS(1-2*$A55))/2))^(2.5*SQRT(К1!$H$9)-0.13-0.75*SQRT(((B$3^2/8*((2*ACOS(1-2*$A55))-SIN((2*ACOS(1-2*$A55)))))/(B$3*(2*ACOS(1-2*$A55))/2)))*(SQRT(К1!$H$9)-0.1))/К1!$H$9*SQRT(((B$3^2/8*((2*ACOS(1-2*$A55))-SIN((2*ACOS(1-2*$A55)))))/(B$3*(2*ACOS(1-2*$A55))/2))*B$4)</f>
        <v>3.89969621006153</v>
      </c>
      <c r="C55" s="17" t="n">
        <f aca="false">1000*(C$3^2/8*((2*ACOS(1-2*$A55))-SIN((2*ACOS(1-2*$A55)))))*((C$3^2/8*((2*ACOS(1-2*$A55))-SIN((2*ACOS(1-2*$A55)))))/(C$3*(2*ACOS(1-2*$A55))/2))^(2.5*SQRT(К1!$H$9)-0.13-0.75*SQRT(((C$3^2/8*((2*ACOS(1-2*$A55))-SIN((2*ACOS(1-2*$A55)))))/(C$3*(2*ACOS(1-2*$A55))/2)))*(SQRT(К1!$H$9)-0.1))/К1!$H$9*SQRT(((C$3^2/8*((2*ACOS(1-2*$A55))-SIN((2*ACOS(1-2*$A55)))))/(C$3*(2*ACOS(1-2*$A55))/2))*C$4)</f>
        <v>3.89969621006153</v>
      </c>
      <c r="D55" s="17" t="n">
        <f aca="false">1000*(D$3^2/8*((2*ACOS(1-2*$A55))-SIN((2*ACOS(1-2*$A55)))))*((D$3^2/8*((2*ACOS(1-2*$A55))-SIN((2*ACOS(1-2*$A55)))))/(D$3*(2*ACOS(1-2*$A55))/2))^(2.5*SQRT(К1!$H$9)-0.13-0.75*SQRT(((D$3^2/8*((2*ACOS(1-2*$A55))-SIN((2*ACOS(1-2*$A55)))))/(D$3*(2*ACOS(1-2*$A55))/2)))*(SQRT(К1!$H$9)-0.1))/К1!$H$9*SQRT(((D$3^2/8*((2*ACOS(1-2*$A55))-SIN((2*ACOS(1-2*$A55)))))/(D$3*(2*ACOS(1-2*$A55))/2))*D$4)</f>
        <v>7.27438873366149</v>
      </c>
      <c r="E55" s="17" t="n">
        <f aca="false">1000*(E$3^2/8*((2*ACOS(1-2*$A55))-SIN((2*ACOS(1-2*$A55)))))*((E$3^2/8*((2*ACOS(1-2*$A55))-SIN((2*ACOS(1-2*$A55)))))/(E$3*(2*ACOS(1-2*$A55))/2))^(2.5*SQRT(К1!$H$9)-0.13-0.75*SQRT(((E$3^2/8*((2*ACOS(1-2*$A55))-SIN((2*ACOS(1-2*$A55)))))/(E$3*(2*ACOS(1-2*$A55))/2)))*(SQRT(К1!$H$9)-0.1))/К1!$H$9*SQRT(((E$3^2/8*((2*ACOS(1-2*$A55))-SIN((2*ACOS(1-2*$A55)))))/(E$3*(2*ACOS(1-2*$A55))/2))*E$4)</f>
        <v>7.27438873366149</v>
      </c>
      <c r="F55" s="17" t="n">
        <f aca="false">1000*(F$3^2/8*((2*ACOS(1-2*$A55))-SIN((2*ACOS(1-2*$A55)))))*((F$3^2/8*((2*ACOS(1-2*$A55))-SIN((2*ACOS(1-2*$A55)))))/(F$3*(2*ACOS(1-2*$A55))/2))^(2.5*SQRT(К1!$H$9)-0.13-0.75*SQRT(((F$3^2/8*((2*ACOS(1-2*$A55))-SIN((2*ACOS(1-2*$A55)))))/(F$3*(2*ACOS(1-2*$A55))/2)))*(SQRT(К1!$H$9)-0.1))/К1!$H$9*SQRT(((F$3^2/8*((2*ACOS(1-2*$A55))-SIN((2*ACOS(1-2*$A55)))))/(F$3*(2*ACOS(1-2*$A55))/2))*F$4)</f>
        <v>7.27438873366149</v>
      </c>
    </row>
    <row r="56" customFormat="false" ht="15" hidden="false" customHeight="false" outlineLevel="0" collapsed="false">
      <c r="A56" s="16" t="n">
        <v>0.55</v>
      </c>
      <c r="B56" s="17" t="n">
        <f aca="false">1000*(B$3^2/8*((2*ACOS(1-2*$A56))-SIN((2*ACOS(1-2*$A56)))))*((B$3^2/8*((2*ACOS(1-2*$A56))-SIN((2*ACOS(1-2*$A56)))))/(B$3*(2*ACOS(1-2*$A56))/2))^(2.5*SQRT(К1!$H$9)-0.13-0.75*SQRT(((B$3^2/8*((2*ACOS(1-2*$A56))-SIN((2*ACOS(1-2*$A56)))))/(B$3*(2*ACOS(1-2*$A56))/2)))*(SQRT(К1!$H$9)-0.1))/К1!$H$9*SQRT(((B$3^2/8*((2*ACOS(1-2*$A56))-SIN((2*ACOS(1-2*$A56)))))/(B$3*(2*ACOS(1-2*$A56))/2))*B$4)</f>
        <v>4.01797541970023</v>
      </c>
      <c r="C56" s="17" t="n">
        <f aca="false">1000*(C$3^2/8*((2*ACOS(1-2*$A56))-SIN((2*ACOS(1-2*$A56)))))*((C$3^2/8*((2*ACOS(1-2*$A56))-SIN((2*ACOS(1-2*$A56)))))/(C$3*(2*ACOS(1-2*$A56))/2))^(2.5*SQRT(К1!$H$9)-0.13-0.75*SQRT(((C$3^2/8*((2*ACOS(1-2*$A56))-SIN((2*ACOS(1-2*$A56)))))/(C$3*(2*ACOS(1-2*$A56))/2)))*(SQRT(К1!$H$9)-0.1))/К1!$H$9*SQRT(((C$3^2/8*((2*ACOS(1-2*$A56))-SIN((2*ACOS(1-2*$A56)))))/(C$3*(2*ACOS(1-2*$A56))/2))*C$4)</f>
        <v>4.01797541970023</v>
      </c>
      <c r="D56" s="17" t="n">
        <f aca="false">1000*(D$3^2/8*((2*ACOS(1-2*$A56))-SIN((2*ACOS(1-2*$A56)))))*((D$3^2/8*((2*ACOS(1-2*$A56))-SIN((2*ACOS(1-2*$A56)))))/(D$3*(2*ACOS(1-2*$A56))/2))^(2.5*SQRT(К1!$H$9)-0.13-0.75*SQRT(((D$3^2/8*((2*ACOS(1-2*$A56))-SIN((2*ACOS(1-2*$A56)))))/(D$3*(2*ACOS(1-2*$A56))/2)))*(SQRT(К1!$H$9)-0.1))/К1!$H$9*SQRT(((D$3^2/8*((2*ACOS(1-2*$A56))-SIN((2*ACOS(1-2*$A56)))))/(D$3*(2*ACOS(1-2*$A56))/2))*D$4)</f>
        <v>7.49501211305552</v>
      </c>
      <c r="E56" s="17" t="n">
        <f aca="false">1000*(E$3^2/8*((2*ACOS(1-2*$A56))-SIN((2*ACOS(1-2*$A56)))))*((E$3^2/8*((2*ACOS(1-2*$A56))-SIN((2*ACOS(1-2*$A56)))))/(E$3*(2*ACOS(1-2*$A56))/2))^(2.5*SQRT(К1!$H$9)-0.13-0.75*SQRT(((E$3^2/8*((2*ACOS(1-2*$A56))-SIN((2*ACOS(1-2*$A56)))))/(E$3*(2*ACOS(1-2*$A56))/2)))*(SQRT(К1!$H$9)-0.1))/К1!$H$9*SQRT(((E$3^2/8*((2*ACOS(1-2*$A56))-SIN((2*ACOS(1-2*$A56)))))/(E$3*(2*ACOS(1-2*$A56))/2))*E$4)</f>
        <v>7.49501211305552</v>
      </c>
      <c r="F56" s="17" t="n">
        <f aca="false">1000*(F$3^2/8*((2*ACOS(1-2*$A56))-SIN((2*ACOS(1-2*$A56)))))*((F$3^2/8*((2*ACOS(1-2*$A56))-SIN((2*ACOS(1-2*$A56)))))/(F$3*(2*ACOS(1-2*$A56))/2))^(2.5*SQRT(К1!$H$9)-0.13-0.75*SQRT(((F$3^2/8*((2*ACOS(1-2*$A56))-SIN((2*ACOS(1-2*$A56)))))/(F$3*(2*ACOS(1-2*$A56))/2)))*(SQRT(К1!$H$9)-0.1))/К1!$H$9*SQRT(((F$3^2/8*((2*ACOS(1-2*$A56))-SIN((2*ACOS(1-2*$A56)))))/(F$3*(2*ACOS(1-2*$A56))/2))*F$4)</f>
        <v>7.49501211305552</v>
      </c>
    </row>
    <row r="57" customFormat="false" ht="15" hidden="false" customHeight="false" outlineLevel="0" collapsed="false">
      <c r="A57" s="16" t="n">
        <v>0.56</v>
      </c>
      <c r="B57" s="17" t="n">
        <f aca="false">1000*(B$3^2/8*((2*ACOS(1-2*$A57))-SIN((2*ACOS(1-2*$A57)))))*((B$3^2/8*((2*ACOS(1-2*$A57))-SIN((2*ACOS(1-2*$A57)))))/(B$3*(2*ACOS(1-2*$A57))/2))^(2.5*SQRT(К1!$H$9)-0.13-0.75*SQRT(((B$3^2/8*((2*ACOS(1-2*$A57))-SIN((2*ACOS(1-2*$A57)))))/(B$3*(2*ACOS(1-2*$A57))/2)))*(SQRT(К1!$H$9)-0.1))/К1!$H$9*SQRT(((B$3^2/8*((2*ACOS(1-2*$A57))-SIN((2*ACOS(1-2*$A57)))))/(B$3*(2*ACOS(1-2*$A57))/2))*B$4)</f>
        <v>4.13637345022615</v>
      </c>
      <c r="C57" s="17" t="n">
        <f aca="false">1000*(C$3^2/8*((2*ACOS(1-2*$A57))-SIN((2*ACOS(1-2*$A57)))))*((C$3^2/8*((2*ACOS(1-2*$A57))-SIN((2*ACOS(1-2*$A57)))))/(C$3*(2*ACOS(1-2*$A57))/2))^(2.5*SQRT(К1!$H$9)-0.13-0.75*SQRT(((C$3^2/8*((2*ACOS(1-2*$A57))-SIN((2*ACOS(1-2*$A57)))))/(C$3*(2*ACOS(1-2*$A57))/2)))*(SQRT(К1!$H$9)-0.1))/К1!$H$9*SQRT(((C$3^2/8*((2*ACOS(1-2*$A57))-SIN((2*ACOS(1-2*$A57)))))/(C$3*(2*ACOS(1-2*$A57))/2))*C$4)</f>
        <v>4.13637345022615</v>
      </c>
      <c r="D57" s="17" t="n">
        <f aca="false">1000*(D$3^2/8*((2*ACOS(1-2*$A57))-SIN((2*ACOS(1-2*$A57)))))*((D$3^2/8*((2*ACOS(1-2*$A57))-SIN((2*ACOS(1-2*$A57)))))/(D$3*(2*ACOS(1-2*$A57))/2))^(2.5*SQRT(К1!$H$9)-0.13-0.75*SQRT(((D$3^2/8*((2*ACOS(1-2*$A57))-SIN((2*ACOS(1-2*$A57)))))/(D$3*(2*ACOS(1-2*$A57))/2)))*(SQRT(К1!$H$9)-0.1))/К1!$H$9*SQRT(((D$3^2/8*((2*ACOS(1-2*$A57))-SIN((2*ACOS(1-2*$A57)))))/(D$3*(2*ACOS(1-2*$A57))/2))*D$4)</f>
        <v>7.71585667051055</v>
      </c>
      <c r="E57" s="17" t="n">
        <f aca="false">1000*(E$3^2/8*((2*ACOS(1-2*$A57))-SIN((2*ACOS(1-2*$A57)))))*((E$3^2/8*((2*ACOS(1-2*$A57))-SIN((2*ACOS(1-2*$A57)))))/(E$3*(2*ACOS(1-2*$A57))/2))^(2.5*SQRT(К1!$H$9)-0.13-0.75*SQRT(((E$3^2/8*((2*ACOS(1-2*$A57))-SIN((2*ACOS(1-2*$A57)))))/(E$3*(2*ACOS(1-2*$A57))/2)))*(SQRT(К1!$H$9)-0.1))/К1!$H$9*SQRT(((E$3^2/8*((2*ACOS(1-2*$A57))-SIN((2*ACOS(1-2*$A57)))))/(E$3*(2*ACOS(1-2*$A57))/2))*E$4)</f>
        <v>7.71585667051055</v>
      </c>
      <c r="F57" s="17" t="n">
        <f aca="false">1000*(F$3^2/8*((2*ACOS(1-2*$A57))-SIN((2*ACOS(1-2*$A57)))))*((F$3^2/8*((2*ACOS(1-2*$A57))-SIN((2*ACOS(1-2*$A57)))))/(F$3*(2*ACOS(1-2*$A57))/2))^(2.5*SQRT(К1!$H$9)-0.13-0.75*SQRT(((F$3^2/8*((2*ACOS(1-2*$A57))-SIN((2*ACOS(1-2*$A57)))))/(F$3*(2*ACOS(1-2*$A57))/2)))*(SQRT(К1!$H$9)-0.1))/К1!$H$9*SQRT(((F$3^2/8*((2*ACOS(1-2*$A57))-SIN((2*ACOS(1-2*$A57)))))/(F$3*(2*ACOS(1-2*$A57))/2))*F$4)</f>
        <v>7.71585667051055</v>
      </c>
    </row>
    <row r="58" customFormat="false" ht="15" hidden="false" customHeight="false" outlineLevel="0" collapsed="false">
      <c r="A58" s="16" t="n">
        <v>0.57</v>
      </c>
      <c r="B58" s="17" t="n">
        <f aca="false">1000*(B$3^2/8*((2*ACOS(1-2*$A58))-SIN((2*ACOS(1-2*$A58)))))*((B$3^2/8*((2*ACOS(1-2*$A58))-SIN((2*ACOS(1-2*$A58)))))/(B$3*(2*ACOS(1-2*$A58))/2))^(2.5*SQRT(К1!$H$9)-0.13-0.75*SQRT(((B$3^2/8*((2*ACOS(1-2*$A58))-SIN((2*ACOS(1-2*$A58)))))/(B$3*(2*ACOS(1-2*$A58))/2)))*(SQRT(К1!$H$9)-0.1))/К1!$H$9*SQRT(((B$3^2/8*((2*ACOS(1-2*$A58))-SIN((2*ACOS(1-2*$A58)))))/(B$3*(2*ACOS(1-2*$A58))/2))*B$4)</f>
        <v>4.25478542549969</v>
      </c>
      <c r="C58" s="17" t="n">
        <f aca="false">1000*(C$3^2/8*((2*ACOS(1-2*$A58))-SIN((2*ACOS(1-2*$A58)))))*((C$3^2/8*((2*ACOS(1-2*$A58))-SIN((2*ACOS(1-2*$A58)))))/(C$3*(2*ACOS(1-2*$A58))/2))^(2.5*SQRT(К1!$H$9)-0.13-0.75*SQRT(((C$3^2/8*((2*ACOS(1-2*$A58))-SIN((2*ACOS(1-2*$A58)))))/(C$3*(2*ACOS(1-2*$A58))/2)))*(SQRT(К1!$H$9)-0.1))/К1!$H$9*SQRT(((C$3^2/8*((2*ACOS(1-2*$A58))-SIN((2*ACOS(1-2*$A58)))))/(C$3*(2*ACOS(1-2*$A58))/2))*C$4)</f>
        <v>4.25478542549969</v>
      </c>
      <c r="D58" s="17" t="n">
        <f aca="false">1000*(D$3^2/8*((2*ACOS(1-2*$A58))-SIN((2*ACOS(1-2*$A58)))))*((D$3^2/8*((2*ACOS(1-2*$A58))-SIN((2*ACOS(1-2*$A58)))))/(D$3*(2*ACOS(1-2*$A58))/2))^(2.5*SQRT(К1!$H$9)-0.13-0.75*SQRT(((D$3^2/8*((2*ACOS(1-2*$A58))-SIN((2*ACOS(1-2*$A58)))))/(D$3*(2*ACOS(1-2*$A58))/2)))*(SQRT(К1!$H$9)-0.1))/К1!$H$9*SQRT(((D$3^2/8*((2*ACOS(1-2*$A58))-SIN((2*ACOS(1-2*$A58)))))/(D$3*(2*ACOS(1-2*$A58))/2))*D$4)</f>
        <v>7.93672681208747</v>
      </c>
      <c r="E58" s="17" t="n">
        <f aca="false">1000*(E$3^2/8*((2*ACOS(1-2*$A58))-SIN((2*ACOS(1-2*$A58)))))*((E$3^2/8*((2*ACOS(1-2*$A58))-SIN((2*ACOS(1-2*$A58)))))/(E$3*(2*ACOS(1-2*$A58))/2))^(2.5*SQRT(К1!$H$9)-0.13-0.75*SQRT(((E$3^2/8*((2*ACOS(1-2*$A58))-SIN((2*ACOS(1-2*$A58)))))/(E$3*(2*ACOS(1-2*$A58))/2)))*(SQRT(К1!$H$9)-0.1))/К1!$H$9*SQRT(((E$3^2/8*((2*ACOS(1-2*$A58))-SIN((2*ACOS(1-2*$A58)))))/(E$3*(2*ACOS(1-2*$A58))/2))*E$4)</f>
        <v>7.93672681208747</v>
      </c>
      <c r="F58" s="17" t="n">
        <f aca="false">1000*(F$3^2/8*((2*ACOS(1-2*$A58))-SIN((2*ACOS(1-2*$A58)))))*((F$3^2/8*((2*ACOS(1-2*$A58))-SIN((2*ACOS(1-2*$A58)))))/(F$3*(2*ACOS(1-2*$A58))/2))^(2.5*SQRT(К1!$H$9)-0.13-0.75*SQRT(((F$3^2/8*((2*ACOS(1-2*$A58))-SIN((2*ACOS(1-2*$A58)))))/(F$3*(2*ACOS(1-2*$A58))/2)))*(SQRT(К1!$H$9)-0.1))/К1!$H$9*SQRT(((F$3^2/8*((2*ACOS(1-2*$A58))-SIN((2*ACOS(1-2*$A58)))))/(F$3*(2*ACOS(1-2*$A58))/2))*F$4)</f>
        <v>7.93672681208747</v>
      </c>
    </row>
    <row r="59" customFormat="false" ht="15" hidden="false" customHeight="false" outlineLevel="0" collapsed="false">
      <c r="A59" s="16" t="n">
        <v>0.58</v>
      </c>
      <c r="B59" s="17" t="n">
        <f aca="false">1000*(B$3^2/8*((2*ACOS(1-2*$A59))-SIN((2*ACOS(1-2*$A59)))))*((B$3^2/8*((2*ACOS(1-2*$A59))-SIN((2*ACOS(1-2*$A59)))))/(B$3*(2*ACOS(1-2*$A59))/2))^(2.5*SQRT(К1!$H$9)-0.13-0.75*SQRT(((B$3^2/8*((2*ACOS(1-2*$A59))-SIN((2*ACOS(1-2*$A59)))))/(B$3*(2*ACOS(1-2*$A59))/2)))*(SQRT(К1!$H$9)-0.1))/К1!$H$9*SQRT(((B$3^2/8*((2*ACOS(1-2*$A59))-SIN((2*ACOS(1-2*$A59)))))/(B$3*(2*ACOS(1-2*$A59))/2))*B$4)</f>
        <v>4.37310470303439</v>
      </c>
      <c r="C59" s="17" t="n">
        <f aca="false">1000*(C$3^2/8*((2*ACOS(1-2*$A59))-SIN((2*ACOS(1-2*$A59)))))*((C$3^2/8*((2*ACOS(1-2*$A59))-SIN((2*ACOS(1-2*$A59)))))/(C$3*(2*ACOS(1-2*$A59))/2))^(2.5*SQRT(К1!$H$9)-0.13-0.75*SQRT(((C$3^2/8*((2*ACOS(1-2*$A59))-SIN((2*ACOS(1-2*$A59)))))/(C$3*(2*ACOS(1-2*$A59))/2)))*(SQRT(К1!$H$9)-0.1))/К1!$H$9*SQRT(((C$3^2/8*((2*ACOS(1-2*$A59))-SIN((2*ACOS(1-2*$A59)))))/(C$3*(2*ACOS(1-2*$A59))/2))*C$4)</f>
        <v>4.37310470303439</v>
      </c>
      <c r="D59" s="17" t="n">
        <f aca="false">1000*(D$3^2/8*((2*ACOS(1-2*$A59))-SIN((2*ACOS(1-2*$A59)))))*((D$3^2/8*((2*ACOS(1-2*$A59))-SIN((2*ACOS(1-2*$A59)))))/(D$3*(2*ACOS(1-2*$A59))/2))^(2.5*SQRT(К1!$H$9)-0.13-0.75*SQRT(((D$3^2/8*((2*ACOS(1-2*$A59))-SIN((2*ACOS(1-2*$A59)))))/(D$3*(2*ACOS(1-2*$A59))/2)))*(SQRT(К1!$H$9)-0.1))/К1!$H$9*SQRT(((D$3^2/8*((2*ACOS(1-2*$A59))-SIN((2*ACOS(1-2*$A59)))))/(D$3*(2*ACOS(1-2*$A59))/2))*D$4)</f>
        <v>8.15742365173388</v>
      </c>
      <c r="E59" s="17" t="n">
        <f aca="false">1000*(E$3^2/8*((2*ACOS(1-2*$A59))-SIN((2*ACOS(1-2*$A59)))))*((E$3^2/8*((2*ACOS(1-2*$A59))-SIN((2*ACOS(1-2*$A59)))))/(E$3*(2*ACOS(1-2*$A59))/2))^(2.5*SQRT(К1!$H$9)-0.13-0.75*SQRT(((E$3^2/8*((2*ACOS(1-2*$A59))-SIN((2*ACOS(1-2*$A59)))))/(E$3*(2*ACOS(1-2*$A59))/2)))*(SQRT(К1!$H$9)-0.1))/К1!$H$9*SQRT(((E$3^2/8*((2*ACOS(1-2*$A59))-SIN((2*ACOS(1-2*$A59)))))/(E$3*(2*ACOS(1-2*$A59))/2))*E$4)</f>
        <v>8.15742365173388</v>
      </c>
      <c r="F59" s="17" t="n">
        <f aca="false">1000*(F$3^2/8*((2*ACOS(1-2*$A59))-SIN((2*ACOS(1-2*$A59)))))*((F$3^2/8*((2*ACOS(1-2*$A59))-SIN((2*ACOS(1-2*$A59)))))/(F$3*(2*ACOS(1-2*$A59))/2))^(2.5*SQRT(К1!$H$9)-0.13-0.75*SQRT(((F$3^2/8*((2*ACOS(1-2*$A59))-SIN((2*ACOS(1-2*$A59)))))/(F$3*(2*ACOS(1-2*$A59))/2)))*(SQRT(К1!$H$9)-0.1))/К1!$H$9*SQRT(((F$3^2/8*((2*ACOS(1-2*$A59))-SIN((2*ACOS(1-2*$A59)))))/(F$3*(2*ACOS(1-2*$A59))/2))*F$4)</f>
        <v>8.15742365173388</v>
      </c>
    </row>
    <row r="60" customFormat="false" ht="15" hidden="false" customHeight="false" outlineLevel="0" collapsed="false">
      <c r="A60" s="16" t="n">
        <v>0.59</v>
      </c>
      <c r="B60" s="17" t="n">
        <f aca="false">1000*(B$3^2/8*((2*ACOS(1-2*$A60))-SIN((2*ACOS(1-2*$A60)))))*((B$3^2/8*((2*ACOS(1-2*$A60))-SIN((2*ACOS(1-2*$A60)))))/(B$3*(2*ACOS(1-2*$A60))/2))^(2.5*SQRT(К1!$H$9)-0.13-0.75*SQRT(((B$3^2/8*((2*ACOS(1-2*$A60))-SIN((2*ACOS(1-2*$A60)))))/(B$3*(2*ACOS(1-2*$A60))/2)))*(SQRT(К1!$H$9)-0.1))/К1!$H$9*SQRT(((B$3^2/8*((2*ACOS(1-2*$A60))-SIN((2*ACOS(1-2*$A60)))))/(B$3*(2*ACOS(1-2*$A60))/2))*B$4)</f>
        <v>4.49122279782211</v>
      </c>
      <c r="C60" s="17" t="n">
        <f aca="false">1000*(C$3^2/8*((2*ACOS(1-2*$A60))-SIN((2*ACOS(1-2*$A60)))))*((C$3^2/8*((2*ACOS(1-2*$A60))-SIN((2*ACOS(1-2*$A60)))))/(C$3*(2*ACOS(1-2*$A60))/2))^(2.5*SQRT(К1!$H$9)-0.13-0.75*SQRT(((C$3^2/8*((2*ACOS(1-2*$A60))-SIN((2*ACOS(1-2*$A60)))))/(C$3*(2*ACOS(1-2*$A60))/2)))*(SQRT(К1!$H$9)-0.1))/К1!$H$9*SQRT(((C$3^2/8*((2*ACOS(1-2*$A60))-SIN((2*ACOS(1-2*$A60)))))/(C$3*(2*ACOS(1-2*$A60))/2))*C$4)</f>
        <v>4.49122279782211</v>
      </c>
      <c r="D60" s="17" t="n">
        <f aca="false">1000*(D$3^2/8*((2*ACOS(1-2*$A60))-SIN((2*ACOS(1-2*$A60)))))*((D$3^2/8*((2*ACOS(1-2*$A60))-SIN((2*ACOS(1-2*$A60)))))/(D$3*(2*ACOS(1-2*$A60))/2))^(2.5*SQRT(К1!$H$9)-0.13-0.75*SQRT(((D$3^2/8*((2*ACOS(1-2*$A60))-SIN((2*ACOS(1-2*$A60)))))/(D$3*(2*ACOS(1-2*$A60))/2)))*(SQRT(К1!$H$9)-0.1))/К1!$H$9*SQRT(((D$3^2/8*((2*ACOS(1-2*$A60))-SIN((2*ACOS(1-2*$A60)))))/(D$3*(2*ACOS(1-2*$A60))/2))*D$4)</f>
        <v>8.37774486912768</v>
      </c>
      <c r="E60" s="17" t="n">
        <f aca="false">1000*(E$3^2/8*((2*ACOS(1-2*$A60))-SIN((2*ACOS(1-2*$A60)))))*((E$3^2/8*((2*ACOS(1-2*$A60))-SIN((2*ACOS(1-2*$A60)))))/(E$3*(2*ACOS(1-2*$A60))/2))^(2.5*SQRT(К1!$H$9)-0.13-0.75*SQRT(((E$3^2/8*((2*ACOS(1-2*$A60))-SIN((2*ACOS(1-2*$A60)))))/(E$3*(2*ACOS(1-2*$A60))/2)))*(SQRT(К1!$H$9)-0.1))/К1!$H$9*SQRT(((E$3^2/8*((2*ACOS(1-2*$A60))-SIN((2*ACOS(1-2*$A60)))))/(E$3*(2*ACOS(1-2*$A60))/2))*E$4)</f>
        <v>8.37774486912768</v>
      </c>
      <c r="F60" s="17" t="n">
        <f aca="false">1000*(F$3^2/8*((2*ACOS(1-2*$A60))-SIN((2*ACOS(1-2*$A60)))))*((F$3^2/8*((2*ACOS(1-2*$A60))-SIN((2*ACOS(1-2*$A60)))))/(F$3*(2*ACOS(1-2*$A60))/2))^(2.5*SQRT(К1!$H$9)-0.13-0.75*SQRT(((F$3^2/8*((2*ACOS(1-2*$A60))-SIN((2*ACOS(1-2*$A60)))))/(F$3*(2*ACOS(1-2*$A60))/2)))*(SQRT(К1!$H$9)-0.1))/К1!$H$9*SQRT(((F$3^2/8*((2*ACOS(1-2*$A60))-SIN((2*ACOS(1-2*$A60)))))/(F$3*(2*ACOS(1-2*$A60))/2))*F$4)</f>
        <v>8.37774486912768</v>
      </c>
    </row>
    <row r="61" customFormat="false" ht="15" hidden="false" customHeight="false" outlineLevel="0" collapsed="false">
      <c r="A61" s="16" t="n">
        <v>0.6</v>
      </c>
      <c r="B61" s="17" t="n">
        <f aca="false">1000*(B$3^2/8*((2*ACOS(1-2*$A61))-SIN((2*ACOS(1-2*$A61)))))*((B$3^2/8*((2*ACOS(1-2*$A61))-SIN((2*ACOS(1-2*$A61)))))/(B$3*(2*ACOS(1-2*$A61))/2))^(2.5*SQRT(К1!$H$9)-0.13-0.75*SQRT(((B$3^2/8*((2*ACOS(1-2*$A61))-SIN((2*ACOS(1-2*$A61)))))/(B$3*(2*ACOS(1-2*$A61))/2)))*(SQRT(К1!$H$9)-0.1))/К1!$H$9*SQRT(((B$3^2/8*((2*ACOS(1-2*$A61))-SIN((2*ACOS(1-2*$A61)))))/(B$3*(2*ACOS(1-2*$A61))/2))*B$4)</f>
        <v>4.60902929715406</v>
      </c>
      <c r="C61" s="17" t="n">
        <f aca="false">1000*(C$3^2/8*((2*ACOS(1-2*$A61))-SIN((2*ACOS(1-2*$A61)))))*((C$3^2/8*((2*ACOS(1-2*$A61))-SIN((2*ACOS(1-2*$A61)))))/(C$3*(2*ACOS(1-2*$A61))/2))^(2.5*SQRT(К1!$H$9)-0.13-0.75*SQRT(((C$3^2/8*((2*ACOS(1-2*$A61))-SIN((2*ACOS(1-2*$A61)))))/(C$3*(2*ACOS(1-2*$A61))/2)))*(SQRT(К1!$H$9)-0.1))/К1!$H$9*SQRT(((C$3^2/8*((2*ACOS(1-2*$A61))-SIN((2*ACOS(1-2*$A61)))))/(C$3*(2*ACOS(1-2*$A61))/2))*C$4)</f>
        <v>4.60902929715406</v>
      </c>
      <c r="D61" s="17" t="n">
        <f aca="false">1000*(D$3^2/8*((2*ACOS(1-2*$A61))-SIN((2*ACOS(1-2*$A61)))))*((D$3^2/8*((2*ACOS(1-2*$A61))-SIN((2*ACOS(1-2*$A61)))))/(D$3*(2*ACOS(1-2*$A61))/2))^(2.5*SQRT(К1!$H$9)-0.13-0.75*SQRT(((D$3^2/8*((2*ACOS(1-2*$A61))-SIN((2*ACOS(1-2*$A61)))))/(D$3*(2*ACOS(1-2*$A61))/2)))*(SQRT(К1!$H$9)-0.1))/К1!$H$9*SQRT(((D$3^2/8*((2*ACOS(1-2*$A61))-SIN((2*ACOS(1-2*$A61)))))/(D$3*(2*ACOS(1-2*$A61))/2))*D$4)</f>
        <v>8.59748455072242</v>
      </c>
      <c r="E61" s="17" t="n">
        <f aca="false">1000*(E$3^2/8*((2*ACOS(1-2*$A61))-SIN((2*ACOS(1-2*$A61)))))*((E$3^2/8*((2*ACOS(1-2*$A61))-SIN((2*ACOS(1-2*$A61)))))/(E$3*(2*ACOS(1-2*$A61))/2))^(2.5*SQRT(К1!$H$9)-0.13-0.75*SQRT(((E$3^2/8*((2*ACOS(1-2*$A61))-SIN((2*ACOS(1-2*$A61)))))/(E$3*(2*ACOS(1-2*$A61))/2)))*(SQRT(К1!$H$9)-0.1))/К1!$H$9*SQRT(((E$3^2/8*((2*ACOS(1-2*$A61))-SIN((2*ACOS(1-2*$A61)))))/(E$3*(2*ACOS(1-2*$A61))/2))*E$4)</f>
        <v>8.59748455072242</v>
      </c>
      <c r="F61" s="17" t="n">
        <f aca="false">1000*(F$3^2/8*((2*ACOS(1-2*$A61))-SIN((2*ACOS(1-2*$A61)))))*((F$3^2/8*((2*ACOS(1-2*$A61))-SIN((2*ACOS(1-2*$A61)))))/(F$3*(2*ACOS(1-2*$A61))/2))^(2.5*SQRT(К1!$H$9)-0.13-0.75*SQRT(((F$3^2/8*((2*ACOS(1-2*$A61))-SIN((2*ACOS(1-2*$A61)))))/(F$3*(2*ACOS(1-2*$A61))/2)))*(SQRT(К1!$H$9)-0.1))/К1!$H$9*SQRT(((F$3^2/8*((2*ACOS(1-2*$A61))-SIN((2*ACOS(1-2*$A61)))))/(F$3*(2*ACOS(1-2*$A61))/2))*F$4)</f>
        <v>8.59748455072242</v>
      </c>
    </row>
    <row r="62" customFormat="false" ht="15" hidden="false" customHeight="false" outlineLevel="0" collapsed="false">
      <c r="A62" s="16" t="n">
        <v>0.61</v>
      </c>
      <c r="B62" s="17" t="n">
        <f aca="false">1000*(B$3^2/8*((2*ACOS(1-2*$A62))-SIN((2*ACOS(1-2*$A62)))))*((B$3^2/8*((2*ACOS(1-2*$A62))-SIN((2*ACOS(1-2*$A62)))))/(B$3*(2*ACOS(1-2*$A62))/2))^(2.5*SQRT(К1!$H$9)-0.13-0.75*SQRT(((B$3^2/8*((2*ACOS(1-2*$A62))-SIN((2*ACOS(1-2*$A62)))))/(B$3*(2*ACOS(1-2*$A62))/2)))*(SQRT(К1!$H$9)-0.1))/К1!$H$9*SQRT(((B$3^2/8*((2*ACOS(1-2*$A62))-SIN((2*ACOS(1-2*$A62)))))/(B$3*(2*ACOS(1-2*$A62))/2))*B$4)</f>
        <v>4.72641176539541</v>
      </c>
      <c r="C62" s="17" t="n">
        <f aca="false">1000*(C$3^2/8*((2*ACOS(1-2*$A62))-SIN((2*ACOS(1-2*$A62)))))*((C$3^2/8*((2*ACOS(1-2*$A62))-SIN((2*ACOS(1-2*$A62)))))/(C$3*(2*ACOS(1-2*$A62))/2))^(2.5*SQRT(К1!$H$9)-0.13-0.75*SQRT(((C$3^2/8*((2*ACOS(1-2*$A62))-SIN((2*ACOS(1-2*$A62)))))/(C$3*(2*ACOS(1-2*$A62))/2)))*(SQRT(К1!$H$9)-0.1))/К1!$H$9*SQRT(((C$3^2/8*((2*ACOS(1-2*$A62))-SIN((2*ACOS(1-2*$A62)))))/(C$3*(2*ACOS(1-2*$A62))/2))*C$4)</f>
        <v>4.72641176539541</v>
      </c>
      <c r="D62" s="17" t="n">
        <f aca="false">1000*(D$3^2/8*((2*ACOS(1-2*$A62))-SIN((2*ACOS(1-2*$A62)))))*((D$3^2/8*((2*ACOS(1-2*$A62))-SIN((2*ACOS(1-2*$A62)))))/(D$3*(2*ACOS(1-2*$A62))/2))^(2.5*SQRT(К1!$H$9)-0.13-0.75*SQRT(((D$3^2/8*((2*ACOS(1-2*$A62))-SIN((2*ACOS(1-2*$A62)))))/(D$3*(2*ACOS(1-2*$A62))/2)))*(SQRT(К1!$H$9)-0.1))/К1!$H$9*SQRT(((D$3^2/8*((2*ACOS(1-2*$A62))-SIN((2*ACOS(1-2*$A62)))))/(D$3*(2*ACOS(1-2*$A62))/2))*D$4)</f>
        <v>8.81643301205101</v>
      </c>
      <c r="E62" s="17" t="n">
        <f aca="false">1000*(E$3^2/8*((2*ACOS(1-2*$A62))-SIN((2*ACOS(1-2*$A62)))))*((E$3^2/8*((2*ACOS(1-2*$A62))-SIN((2*ACOS(1-2*$A62)))))/(E$3*(2*ACOS(1-2*$A62))/2))^(2.5*SQRT(К1!$H$9)-0.13-0.75*SQRT(((E$3^2/8*((2*ACOS(1-2*$A62))-SIN((2*ACOS(1-2*$A62)))))/(E$3*(2*ACOS(1-2*$A62))/2)))*(SQRT(К1!$H$9)-0.1))/К1!$H$9*SQRT(((E$3^2/8*((2*ACOS(1-2*$A62))-SIN((2*ACOS(1-2*$A62)))))/(E$3*(2*ACOS(1-2*$A62))/2))*E$4)</f>
        <v>8.81643301205101</v>
      </c>
      <c r="F62" s="17" t="n">
        <f aca="false">1000*(F$3^2/8*((2*ACOS(1-2*$A62))-SIN((2*ACOS(1-2*$A62)))))*((F$3^2/8*((2*ACOS(1-2*$A62))-SIN((2*ACOS(1-2*$A62)))))/(F$3*(2*ACOS(1-2*$A62))/2))^(2.5*SQRT(К1!$H$9)-0.13-0.75*SQRT(((F$3^2/8*((2*ACOS(1-2*$A62))-SIN((2*ACOS(1-2*$A62)))))/(F$3*(2*ACOS(1-2*$A62))/2)))*(SQRT(К1!$H$9)-0.1))/К1!$H$9*SQRT(((F$3^2/8*((2*ACOS(1-2*$A62))-SIN((2*ACOS(1-2*$A62)))))/(F$3*(2*ACOS(1-2*$A62))/2))*F$4)</f>
        <v>8.81643301205101</v>
      </c>
    </row>
    <row r="63" customFormat="false" ht="15" hidden="false" customHeight="false" outlineLevel="0" collapsed="false">
      <c r="A63" s="16" t="n">
        <v>0.62</v>
      </c>
      <c r="B63" s="17" t="n">
        <f aca="false">1000*(B$3^2/8*((2*ACOS(1-2*$A63))-SIN((2*ACOS(1-2*$A63)))))*((B$3^2/8*((2*ACOS(1-2*$A63))-SIN((2*ACOS(1-2*$A63)))))/(B$3*(2*ACOS(1-2*$A63))/2))^(2.5*SQRT(К1!$H$9)-0.13-0.75*SQRT(((B$3^2/8*((2*ACOS(1-2*$A63))-SIN((2*ACOS(1-2*$A63)))))/(B$3*(2*ACOS(1-2*$A63))/2)))*(SQRT(К1!$H$9)-0.1))/К1!$H$9*SQRT(((B$3^2/8*((2*ACOS(1-2*$A63))-SIN((2*ACOS(1-2*$A63)))))/(B$3*(2*ACOS(1-2*$A63))/2))*B$4)</f>
        <v>4.84325563750167</v>
      </c>
      <c r="C63" s="17" t="n">
        <f aca="false">1000*(C$3^2/8*((2*ACOS(1-2*$A63))-SIN((2*ACOS(1-2*$A63)))))*((C$3^2/8*((2*ACOS(1-2*$A63))-SIN((2*ACOS(1-2*$A63)))))/(C$3*(2*ACOS(1-2*$A63))/2))^(2.5*SQRT(К1!$H$9)-0.13-0.75*SQRT(((C$3^2/8*((2*ACOS(1-2*$A63))-SIN((2*ACOS(1-2*$A63)))))/(C$3*(2*ACOS(1-2*$A63))/2)))*(SQRT(К1!$H$9)-0.1))/К1!$H$9*SQRT(((C$3^2/8*((2*ACOS(1-2*$A63))-SIN((2*ACOS(1-2*$A63)))))/(C$3*(2*ACOS(1-2*$A63))/2))*C$4)</f>
        <v>4.84325563750167</v>
      </c>
      <c r="D63" s="17" t="n">
        <f aca="false">1000*(D$3^2/8*((2*ACOS(1-2*$A63))-SIN((2*ACOS(1-2*$A63)))))*((D$3^2/8*((2*ACOS(1-2*$A63))-SIN((2*ACOS(1-2*$A63)))))/(D$3*(2*ACOS(1-2*$A63))/2))^(2.5*SQRT(К1!$H$9)-0.13-0.75*SQRT(((D$3^2/8*((2*ACOS(1-2*$A63))-SIN((2*ACOS(1-2*$A63)))))/(D$3*(2*ACOS(1-2*$A63))/2)))*(SQRT(К1!$H$9)-0.1))/К1!$H$9*SQRT(((D$3^2/8*((2*ACOS(1-2*$A63))-SIN((2*ACOS(1-2*$A63)))))/(D$3*(2*ACOS(1-2*$A63))/2))*D$4)</f>
        <v>9.03437659902707</v>
      </c>
      <c r="E63" s="17" t="n">
        <f aca="false">1000*(E$3^2/8*((2*ACOS(1-2*$A63))-SIN((2*ACOS(1-2*$A63)))))*((E$3^2/8*((2*ACOS(1-2*$A63))-SIN((2*ACOS(1-2*$A63)))))/(E$3*(2*ACOS(1-2*$A63))/2))^(2.5*SQRT(К1!$H$9)-0.13-0.75*SQRT(((E$3^2/8*((2*ACOS(1-2*$A63))-SIN((2*ACOS(1-2*$A63)))))/(E$3*(2*ACOS(1-2*$A63))/2)))*(SQRT(К1!$H$9)-0.1))/К1!$H$9*SQRT(((E$3^2/8*((2*ACOS(1-2*$A63))-SIN((2*ACOS(1-2*$A63)))))/(E$3*(2*ACOS(1-2*$A63))/2))*E$4)</f>
        <v>9.03437659902707</v>
      </c>
      <c r="F63" s="17" t="n">
        <f aca="false">1000*(F$3^2/8*((2*ACOS(1-2*$A63))-SIN((2*ACOS(1-2*$A63)))))*((F$3^2/8*((2*ACOS(1-2*$A63))-SIN((2*ACOS(1-2*$A63)))))/(F$3*(2*ACOS(1-2*$A63))/2))^(2.5*SQRT(К1!$H$9)-0.13-0.75*SQRT(((F$3^2/8*((2*ACOS(1-2*$A63))-SIN((2*ACOS(1-2*$A63)))))/(F$3*(2*ACOS(1-2*$A63))/2)))*(SQRT(К1!$H$9)-0.1))/К1!$H$9*SQRT(((F$3^2/8*((2*ACOS(1-2*$A63))-SIN((2*ACOS(1-2*$A63)))))/(F$3*(2*ACOS(1-2*$A63))/2))*F$4)</f>
        <v>9.03437659902707</v>
      </c>
    </row>
    <row r="64" customFormat="false" ht="15" hidden="false" customHeight="false" outlineLevel="0" collapsed="false">
      <c r="A64" s="16" t="n">
        <v>0.63</v>
      </c>
      <c r="B64" s="17" t="n">
        <f aca="false">1000*(B$3^2/8*((2*ACOS(1-2*$A64))-SIN((2*ACOS(1-2*$A64)))))*((B$3^2/8*((2*ACOS(1-2*$A64))-SIN((2*ACOS(1-2*$A64)))))/(B$3*(2*ACOS(1-2*$A64))/2))^(2.5*SQRT(К1!$H$9)-0.13-0.75*SQRT(((B$3^2/8*((2*ACOS(1-2*$A64))-SIN((2*ACOS(1-2*$A64)))))/(B$3*(2*ACOS(1-2*$A64))/2)))*(SQRT(К1!$H$9)-0.1))/К1!$H$9*SQRT(((B$3^2/8*((2*ACOS(1-2*$A64))-SIN((2*ACOS(1-2*$A64)))))/(B$3*(2*ACOS(1-2*$A64))/2))*B$4)</f>
        <v>4.95944409986402</v>
      </c>
      <c r="C64" s="17" t="n">
        <f aca="false">1000*(C$3^2/8*((2*ACOS(1-2*$A64))-SIN((2*ACOS(1-2*$A64)))))*((C$3^2/8*((2*ACOS(1-2*$A64))-SIN((2*ACOS(1-2*$A64)))))/(C$3*(2*ACOS(1-2*$A64))/2))^(2.5*SQRT(К1!$H$9)-0.13-0.75*SQRT(((C$3^2/8*((2*ACOS(1-2*$A64))-SIN((2*ACOS(1-2*$A64)))))/(C$3*(2*ACOS(1-2*$A64))/2)))*(SQRT(К1!$H$9)-0.1))/К1!$H$9*SQRT(((C$3^2/8*((2*ACOS(1-2*$A64))-SIN((2*ACOS(1-2*$A64)))))/(C$3*(2*ACOS(1-2*$A64))/2))*C$4)</f>
        <v>4.95944409986402</v>
      </c>
      <c r="D64" s="17" t="n">
        <f aca="false">1000*(D$3^2/8*((2*ACOS(1-2*$A64))-SIN((2*ACOS(1-2*$A64)))))*((D$3^2/8*((2*ACOS(1-2*$A64))-SIN((2*ACOS(1-2*$A64)))))/(D$3*(2*ACOS(1-2*$A64))/2))^(2.5*SQRT(К1!$H$9)-0.13-0.75*SQRT(((D$3^2/8*((2*ACOS(1-2*$A64))-SIN((2*ACOS(1-2*$A64)))))/(D$3*(2*ACOS(1-2*$A64))/2)))*(SQRT(К1!$H$9)-0.1))/К1!$H$9*SQRT(((D$3^2/8*((2*ACOS(1-2*$A64))-SIN((2*ACOS(1-2*$A64)))))/(D$3*(2*ACOS(1-2*$A64))/2))*D$4)</f>
        <v>9.25109746560903</v>
      </c>
      <c r="E64" s="17" t="n">
        <f aca="false">1000*(E$3^2/8*((2*ACOS(1-2*$A64))-SIN((2*ACOS(1-2*$A64)))))*((E$3^2/8*((2*ACOS(1-2*$A64))-SIN((2*ACOS(1-2*$A64)))))/(E$3*(2*ACOS(1-2*$A64))/2))^(2.5*SQRT(К1!$H$9)-0.13-0.75*SQRT(((E$3^2/8*((2*ACOS(1-2*$A64))-SIN((2*ACOS(1-2*$A64)))))/(E$3*(2*ACOS(1-2*$A64))/2)))*(SQRT(К1!$H$9)-0.1))/К1!$H$9*SQRT(((E$3^2/8*((2*ACOS(1-2*$A64))-SIN((2*ACOS(1-2*$A64)))))/(E$3*(2*ACOS(1-2*$A64))/2))*E$4)</f>
        <v>9.25109746560903</v>
      </c>
      <c r="F64" s="17" t="n">
        <f aca="false">1000*(F$3^2/8*((2*ACOS(1-2*$A64))-SIN((2*ACOS(1-2*$A64)))))*((F$3^2/8*((2*ACOS(1-2*$A64))-SIN((2*ACOS(1-2*$A64)))))/(F$3*(2*ACOS(1-2*$A64))/2))^(2.5*SQRT(К1!$H$9)-0.13-0.75*SQRT(((F$3^2/8*((2*ACOS(1-2*$A64))-SIN((2*ACOS(1-2*$A64)))))/(F$3*(2*ACOS(1-2*$A64))/2)))*(SQRT(К1!$H$9)-0.1))/К1!$H$9*SQRT(((F$3^2/8*((2*ACOS(1-2*$A64))-SIN((2*ACOS(1-2*$A64)))))/(F$3*(2*ACOS(1-2*$A64))/2))*F$4)</f>
        <v>9.25109746560903</v>
      </c>
    </row>
    <row r="65" customFormat="false" ht="15" hidden="false" customHeight="false" outlineLevel="0" collapsed="false">
      <c r="A65" s="16" t="n">
        <v>0.64</v>
      </c>
      <c r="B65" s="17" t="n">
        <f aca="false">1000*(B$3^2/8*((2*ACOS(1-2*$A65))-SIN((2*ACOS(1-2*$A65)))))*((B$3^2/8*((2*ACOS(1-2*$A65))-SIN((2*ACOS(1-2*$A65)))))/(B$3*(2*ACOS(1-2*$A65))/2))^(2.5*SQRT(К1!$H$9)-0.13-0.75*SQRT(((B$3^2/8*((2*ACOS(1-2*$A65))-SIN((2*ACOS(1-2*$A65)))))/(B$3*(2*ACOS(1-2*$A65))/2)))*(SQRT(К1!$H$9)-0.1))/К1!$H$9*SQRT(((B$3^2/8*((2*ACOS(1-2*$A65))-SIN((2*ACOS(1-2*$A65)))))/(B$3*(2*ACOS(1-2*$A65))/2))*B$4)</f>
        <v>5.07485795683144</v>
      </c>
      <c r="C65" s="17" t="n">
        <f aca="false">1000*(C$3^2/8*((2*ACOS(1-2*$A65))-SIN((2*ACOS(1-2*$A65)))))*((C$3^2/8*((2*ACOS(1-2*$A65))-SIN((2*ACOS(1-2*$A65)))))/(C$3*(2*ACOS(1-2*$A65))/2))^(2.5*SQRT(К1!$H$9)-0.13-0.75*SQRT(((C$3^2/8*((2*ACOS(1-2*$A65))-SIN((2*ACOS(1-2*$A65)))))/(C$3*(2*ACOS(1-2*$A65))/2)))*(SQRT(К1!$H$9)-0.1))/К1!$H$9*SQRT(((C$3^2/8*((2*ACOS(1-2*$A65))-SIN((2*ACOS(1-2*$A65)))))/(C$3*(2*ACOS(1-2*$A65))/2))*C$4)</f>
        <v>5.07485795683144</v>
      </c>
      <c r="D65" s="17" t="n">
        <f aca="false">1000*(D$3^2/8*((2*ACOS(1-2*$A65))-SIN((2*ACOS(1-2*$A65)))))*((D$3^2/8*((2*ACOS(1-2*$A65))-SIN((2*ACOS(1-2*$A65)))))/(D$3*(2*ACOS(1-2*$A65))/2))^(2.5*SQRT(К1!$H$9)-0.13-0.75*SQRT(((D$3^2/8*((2*ACOS(1-2*$A65))-SIN((2*ACOS(1-2*$A65)))))/(D$3*(2*ACOS(1-2*$A65))/2)))*(SQRT(К1!$H$9)-0.1))/К1!$H$9*SQRT(((D$3^2/8*((2*ACOS(1-2*$A65))-SIN((2*ACOS(1-2*$A65)))))/(D$3*(2*ACOS(1-2*$A65))/2))*D$4)</f>
        <v>9.46637332474564</v>
      </c>
      <c r="E65" s="17" t="n">
        <f aca="false">1000*(E$3^2/8*((2*ACOS(1-2*$A65))-SIN((2*ACOS(1-2*$A65)))))*((E$3^2/8*((2*ACOS(1-2*$A65))-SIN((2*ACOS(1-2*$A65)))))/(E$3*(2*ACOS(1-2*$A65))/2))^(2.5*SQRT(К1!$H$9)-0.13-0.75*SQRT(((E$3^2/8*((2*ACOS(1-2*$A65))-SIN((2*ACOS(1-2*$A65)))))/(E$3*(2*ACOS(1-2*$A65))/2)))*(SQRT(К1!$H$9)-0.1))/К1!$H$9*SQRT(((E$3^2/8*((2*ACOS(1-2*$A65))-SIN((2*ACOS(1-2*$A65)))))/(E$3*(2*ACOS(1-2*$A65))/2))*E$4)</f>
        <v>9.46637332474564</v>
      </c>
      <c r="F65" s="17" t="n">
        <f aca="false">1000*(F$3^2/8*((2*ACOS(1-2*$A65))-SIN((2*ACOS(1-2*$A65)))))*((F$3^2/8*((2*ACOS(1-2*$A65))-SIN((2*ACOS(1-2*$A65)))))/(F$3*(2*ACOS(1-2*$A65))/2))^(2.5*SQRT(К1!$H$9)-0.13-0.75*SQRT(((F$3^2/8*((2*ACOS(1-2*$A65))-SIN((2*ACOS(1-2*$A65)))))/(F$3*(2*ACOS(1-2*$A65))/2)))*(SQRT(К1!$H$9)-0.1))/К1!$H$9*SQRT(((F$3^2/8*((2*ACOS(1-2*$A65))-SIN((2*ACOS(1-2*$A65)))))/(F$3*(2*ACOS(1-2*$A65))/2))*F$4)</f>
        <v>9.46637332474564</v>
      </c>
    </row>
    <row r="66" customFormat="false" ht="15" hidden="false" customHeight="false" outlineLevel="0" collapsed="false">
      <c r="A66" s="16" t="n">
        <v>0.65</v>
      </c>
      <c r="B66" s="17" t="n">
        <f aca="false">1000*(B$3^2/8*((2*ACOS(1-2*$A66))-SIN((2*ACOS(1-2*$A66)))))*((B$3^2/8*((2*ACOS(1-2*$A66))-SIN((2*ACOS(1-2*$A66)))))/(B$3*(2*ACOS(1-2*$A66))/2))^(2.5*SQRT(К1!$H$9)-0.13-0.75*SQRT(((B$3^2/8*((2*ACOS(1-2*$A66))-SIN((2*ACOS(1-2*$A66)))))/(B$3*(2*ACOS(1-2*$A66))/2)))*(SQRT(К1!$H$9)-0.1))/К1!$H$9*SQRT(((B$3^2/8*((2*ACOS(1-2*$A66))-SIN((2*ACOS(1-2*$A66)))))/(B$3*(2*ACOS(1-2*$A66))/2))*B$4)</f>
        <v>5.18937548097157</v>
      </c>
      <c r="C66" s="17" t="n">
        <f aca="false">1000*(C$3^2/8*((2*ACOS(1-2*$A66))-SIN((2*ACOS(1-2*$A66)))))*((C$3^2/8*((2*ACOS(1-2*$A66))-SIN((2*ACOS(1-2*$A66)))))/(C$3*(2*ACOS(1-2*$A66))/2))^(2.5*SQRT(К1!$H$9)-0.13-0.75*SQRT(((C$3^2/8*((2*ACOS(1-2*$A66))-SIN((2*ACOS(1-2*$A66)))))/(C$3*(2*ACOS(1-2*$A66))/2)))*(SQRT(К1!$H$9)-0.1))/К1!$H$9*SQRT(((C$3^2/8*((2*ACOS(1-2*$A66))-SIN((2*ACOS(1-2*$A66)))))/(C$3*(2*ACOS(1-2*$A66))/2))*C$4)</f>
        <v>5.18937548097157</v>
      </c>
      <c r="D66" s="17" t="n">
        <f aca="false">1000*(D$3^2/8*((2*ACOS(1-2*$A66))-SIN((2*ACOS(1-2*$A66)))))*((D$3^2/8*((2*ACOS(1-2*$A66))-SIN((2*ACOS(1-2*$A66)))))/(D$3*(2*ACOS(1-2*$A66))/2))^(2.5*SQRT(К1!$H$9)-0.13-0.75*SQRT(((D$3^2/8*((2*ACOS(1-2*$A66))-SIN((2*ACOS(1-2*$A66)))))/(D$3*(2*ACOS(1-2*$A66))/2)))*(SQRT(К1!$H$9)-0.1))/К1!$H$9*SQRT(((D$3^2/8*((2*ACOS(1-2*$A66))-SIN((2*ACOS(1-2*$A66)))))/(D$3*(2*ACOS(1-2*$A66))/2))*D$4)</f>
        <v>9.67997716898751</v>
      </c>
      <c r="E66" s="17" t="n">
        <f aca="false">1000*(E$3^2/8*((2*ACOS(1-2*$A66))-SIN((2*ACOS(1-2*$A66)))))*((E$3^2/8*((2*ACOS(1-2*$A66))-SIN((2*ACOS(1-2*$A66)))))/(E$3*(2*ACOS(1-2*$A66))/2))^(2.5*SQRT(К1!$H$9)-0.13-0.75*SQRT(((E$3^2/8*((2*ACOS(1-2*$A66))-SIN((2*ACOS(1-2*$A66)))))/(E$3*(2*ACOS(1-2*$A66))/2)))*(SQRT(К1!$H$9)-0.1))/К1!$H$9*SQRT(((E$3^2/8*((2*ACOS(1-2*$A66))-SIN((2*ACOS(1-2*$A66)))))/(E$3*(2*ACOS(1-2*$A66))/2))*E$4)</f>
        <v>9.67997716898751</v>
      </c>
      <c r="F66" s="17" t="n">
        <f aca="false">1000*(F$3^2/8*((2*ACOS(1-2*$A66))-SIN((2*ACOS(1-2*$A66)))))*((F$3^2/8*((2*ACOS(1-2*$A66))-SIN((2*ACOS(1-2*$A66)))))/(F$3*(2*ACOS(1-2*$A66))/2))^(2.5*SQRT(К1!$H$9)-0.13-0.75*SQRT(((F$3^2/8*((2*ACOS(1-2*$A66))-SIN((2*ACOS(1-2*$A66)))))/(F$3*(2*ACOS(1-2*$A66))/2)))*(SQRT(К1!$H$9)-0.1))/К1!$H$9*SQRT(((F$3^2/8*((2*ACOS(1-2*$A66))-SIN((2*ACOS(1-2*$A66)))))/(F$3*(2*ACOS(1-2*$A66))/2))*F$4)</f>
        <v>9.67997716898751</v>
      </c>
    </row>
    <row r="67" customFormat="false" ht="15" hidden="false" customHeight="false" outlineLevel="0" collapsed="false">
      <c r="A67" s="16" t="n">
        <v>0.66</v>
      </c>
      <c r="B67" s="17" t="n">
        <f aca="false">1000*(B$3^2/8*((2*ACOS(1-2*$A67))-SIN((2*ACOS(1-2*$A67)))))*((B$3^2/8*((2*ACOS(1-2*$A67))-SIN((2*ACOS(1-2*$A67)))))/(B$3*(2*ACOS(1-2*$A67))/2))^(2.5*SQRT(К1!$H$9)-0.13-0.75*SQRT(((B$3^2/8*((2*ACOS(1-2*$A67))-SIN((2*ACOS(1-2*$A67)))))/(B$3*(2*ACOS(1-2*$A67))/2)))*(SQRT(К1!$H$9)-0.1))/К1!$H$9*SQRT(((B$3^2/8*((2*ACOS(1-2*$A67))-SIN((2*ACOS(1-2*$A67)))))/(B$3*(2*ACOS(1-2*$A67))/2))*B$4)</f>
        <v>5.30287224478753</v>
      </c>
      <c r="C67" s="17" t="n">
        <f aca="false">1000*(C$3^2/8*((2*ACOS(1-2*$A67))-SIN((2*ACOS(1-2*$A67)))))*((C$3^2/8*((2*ACOS(1-2*$A67))-SIN((2*ACOS(1-2*$A67)))))/(C$3*(2*ACOS(1-2*$A67))/2))^(2.5*SQRT(К1!$H$9)-0.13-0.75*SQRT(((C$3^2/8*((2*ACOS(1-2*$A67))-SIN((2*ACOS(1-2*$A67)))))/(C$3*(2*ACOS(1-2*$A67))/2)))*(SQRT(К1!$H$9)-0.1))/К1!$H$9*SQRT(((C$3^2/8*((2*ACOS(1-2*$A67))-SIN((2*ACOS(1-2*$A67)))))/(C$3*(2*ACOS(1-2*$A67))/2))*C$4)</f>
        <v>5.30287224478753</v>
      </c>
      <c r="D67" s="17" t="n">
        <f aca="false">1000*(D$3^2/8*((2*ACOS(1-2*$A67))-SIN((2*ACOS(1-2*$A67)))))*((D$3^2/8*((2*ACOS(1-2*$A67))-SIN((2*ACOS(1-2*$A67)))))/(D$3*(2*ACOS(1-2*$A67))/2))^(2.5*SQRT(К1!$H$9)-0.13-0.75*SQRT(((D$3^2/8*((2*ACOS(1-2*$A67))-SIN((2*ACOS(1-2*$A67)))))/(D$3*(2*ACOS(1-2*$A67))/2)))*(SQRT(К1!$H$9)-0.1))/К1!$H$9*SQRT(((D$3^2/8*((2*ACOS(1-2*$A67))-SIN((2*ACOS(1-2*$A67)))))/(D$3*(2*ACOS(1-2*$A67))/2))*D$4)</f>
        <v>9.89167695650749</v>
      </c>
      <c r="E67" s="17" t="n">
        <f aca="false">1000*(E$3^2/8*((2*ACOS(1-2*$A67))-SIN((2*ACOS(1-2*$A67)))))*((E$3^2/8*((2*ACOS(1-2*$A67))-SIN((2*ACOS(1-2*$A67)))))/(E$3*(2*ACOS(1-2*$A67))/2))^(2.5*SQRT(К1!$H$9)-0.13-0.75*SQRT(((E$3^2/8*((2*ACOS(1-2*$A67))-SIN((2*ACOS(1-2*$A67)))))/(E$3*(2*ACOS(1-2*$A67))/2)))*(SQRT(К1!$H$9)-0.1))/К1!$H$9*SQRT(((E$3^2/8*((2*ACOS(1-2*$A67))-SIN((2*ACOS(1-2*$A67)))))/(E$3*(2*ACOS(1-2*$A67))/2))*E$4)</f>
        <v>9.89167695650749</v>
      </c>
      <c r="F67" s="17" t="n">
        <f aca="false">1000*(F$3^2/8*((2*ACOS(1-2*$A67))-SIN((2*ACOS(1-2*$A67)))))*((F$3^2/8*((2*ACOS(1-2*$A67))-SIN((2*ACOS(1-2*$A67)))))/(F$3*(2*ACOS(1-2*$A67))/2))^(2.5*SQRT(К1!$H$9)-0.13-0.75*SQRT(((F$3^2/8*((2*ACOS(1-2*$A67))-SIN((2*ACOS(1-2*$A67)))))/(F$3*(2*ACOS(1-2*$A67))/2)))*(SQRT(К1!$H$9)-0.1))/К1!$H$9*SQRT(((F$3^2/8*((2*ACOS(1-2*$A67))-SIN((2*ACOS(1-2*$A67)))))/(F$3*(2*ACOS(1-2*$A67))/2))*F$4)</f>
        <v>9.89167695650749</v>
      </c>
    </row>
    <row r="68" customFormat="false" ht="15" hidden="false" customHeight="false" outlineLevel="0" collapsed="false">
      <c r="A68" s="16" t="n">
        <v>0.67</v>
      </c>
      <c r="B68" s="17" t="n">
        <f aca="false">1000*(B$3^2/8*((2*ACOS(1-2*$A68))-SIN((2*ACOS(1-2*$A68)))))*((B$3^2/8*((2*ACOS(1-2*$A68))-SIN((2*ACOS(1-2*$A68)))))/(B$3*(2*ACOS(1-2*$A68))/2))^(2.5*SQRT(К1!$H$9)-0.13-0.75*SQRT(((B$3^2/8*((2*ACOS(1-2*$A68))-SIN((2*ACOS(1-2*$A68)))))/(B$3*(2*ACOS(1-2*$A68))/2)))*(SQRT(К1!$H$9)-0.1))/К1!$H$9*SQRT(((B$3^2/8*((2*ACOS(1-2*$A68))-SIN((2*ACOS(1-2*$A68)))))/(B$3*(2*ACOS(1-2*$A68))/2))*B$4)</f>
        <v>5.41522093119184</v>
      </c>
      <c r="C68" s="17" t="n">
        <f aca="false">1000*(C$3^2/8*((2*ACOS(1-2*$A68))-SIN((2*ACOS(1-2*$A68)))))*((C$3^2/8*((2*ACOS(1-2*$A68))-SIN((2*ACOS(1-2*$A68)))))/(C$3*(2*ACOS(1-2*$A68))/2))^(2.5*SQRT(К1!$H$9)-0.13-0.75*SQRT(((C$3^2/8*((2*ACOS(1-2*$A68))-SIN((2*ACOS(1-2*$A68)))))/(C$3*(2*ACOS(1-2*$A68))/2)))*(SQRT(К1!$H$9)-0.1))/К1!$H$9*SQRT(((C$3^2/8*((2*ACOS(1-2*$A68))-SIN((2*ACOS(1-2*$A68)))))/(C$3*(2*ACOS(1-2*$A68))/2))*C$4)</f>
        <v>5.41522093119184</v>
      </c>
      <c r="D68" s="17" t="n">
        <f aca="false">1000*(D$3^2/8*((2*ACOS(1-2*$A68))-SIN((2*ACOS(1-2*$A68)))))*((D$3^2/8*((2*ACOS(1-2*$A68))-SIN((2*ACOS(1-2*$A68)))))/(D$3*(2*ACOS(1-2*$A68))/2))^(2.5*SQRT(К1!$H$9)-0.13-0.75*SQRT(((D$3^2/8*((2*ACOS(1-2*$A68))-SIN((2*ACOS(1-2*$A68)))))/(D$3*(2*ACOS(1-2*$A68))/2)))*(SQRT(К1!$H$9)-0.1))/К1!$H$9*SQRT(((D$3^2/8*((2*ACOS(1-2*$A68))-SIN((2*ACOS(1-2*$A68)))))/(D$3*(2*ACOS(1-2*$A68))/2))*D$4)</f>
        <v>10.1012352574956</v>
      </c>
      <c r="E68" s="17" t="n">
        <f aca="false">1000*(E$3^2/8*((2*ACOS(1-2*$A68))-SIN((2*ACOS(1-2*$A68)))))*((E$3^2/8*((2*ACOS(1-2*$A68))-SIN((2*ACOS(1-2*$A68)))))/(E$3*(2*ACOS(1-2*$A68))/2))^(2.5*SQRT(К1!$H$9)-0.13-0.75*SQRT(((E$3^2/8*((2*ACOS(1-2*$A68))-SIN((2*ACOS(1-2*$A68)))))/(E$3*(2*ACOS(1-2*$A68))/2)))*(SQRT(К1!$H$9)-0.1))/К1!$H$9*SQRT(((E$3^2/8*((2*ACOS(1-2*$A68))-SIN((2*ACOS(1-2*$A68)))))/(E$3*(2*ACOS(1-2*$A68))/2))*E$4)</f>
        <v>10.1012352574956</v>
      </c>
      <c r="F68" s="17" t="n">
        <f aca="false">1000*(F$3^2/8*((2*ACOS(1-2*$A68))-SIN((2*ACOS(1-2*$A68)))))*((F$3^2/8*((2*ACOS(1-2*$A68))-SIN((2*ACOS(1-2*$A68)))))/(F$3*(2*ACOS(1-2*$A68))/2))^(2.5*SQRT(К1!$H$9)-0.13-0.75*SQRT(((F$3^2/8*((2*ACOS(1-2*$A68))-SIN((2*ACOS(1-2*$A68)))))/(F$3*(2*ACOS(1-2*$A68))/2)))*(SQRT(К1!$H$9)-0.1))/К1!$H$9*SQRT(((F$3^2/8*((2*ACOS(1-2*$A68))-SIN((2*ACOS(1-2*$A68)))))/(F$3*(2*ACOS(1-2*$A68))/2))*F$4)</f>
        <v>10.1012352574956</v>
      </c>
    </row>
    <row r="69" customFormat="false" ht="15" hidden="false" customHeight="false" outlineLevel="0" collapsed="false">
      <c r="A69" s="16" t="n">
        <v>0.68</v>
      </c>
      <c r="B69" s="17" t="n">
        <f aca="false">1000*(B$3^2/8*((2*ACOS(1-2*$A69))-SIN((2*ACOS(1-2*$A69)))))*((B$3^2/8*((2*ACOS(1-2*$A69))-SIN((2*ACOS(1-2*$A69)))))/(B$3*(2*ACOS(1-2*$A69))/2))^(2.5*SQRT(К1!$H$9)-0.13-0.75*SQRT(((B$3^2/8*((2*ACOS(1-2*$A69))-SIN((2*ACOS(1-2*$A69)))))/(B$3*(2*ACOS(1-2*$A69))/2)))*(SQRT(К1!$H$9)-0.1))/К1!$H$9*SQRT(((B$3^2/8*((2*ACOS(1-2*$A69))-SIN((2*ACOS(1-2*$A69)))))/(B$3*(2*ACOS(1-2*$A69))/2))*B$4)</f>
        <v>5.52629111953167</v>
      </c>
      <c r="C69" s="17" t="n">
        <f aca="false">1000*(C$3^2/8*((2*ACOS(1-2*$A69))-SIN((2*ACOS(1-2*$A69)))))*((C$3^2/8*((2*ACOS(1-2*$A69))-SIN((2*ACOS(1-2*$A69)))))/(C$3*(2*ACOS(1-2*$A69))/2))^(2.5*SQRT(К1!$H$9)-0.13-0.75*SQRT(((C$3^2/8*((2*ACOS(1-2*$A69))-SIN((2*ACOS(1-2*$A69)))))/(C$3*(2*ACOS(1-2*$A69))/2)))*(SQRT(К1!$H$9)-0.1))/К1!$H$9*SQRT(((C$3^2/8*((2*ACOS(1-2*$A69))-SIN((2*ACOS(1-2*$A69)))))/(C$3*(2*ACOS(1-2*$A69))/2))*C$4)</f>
        <v>5.52629111953167</v>
      </c>
      <c r="D69" s="17" t="n">
        <f aca="false">1000*(D$3^2/8*((2*ACOS(1-2*$A69))-SIN((2*ACOS(1-2*$A69)))))*((D$3^2/8*((2*ACOS(1-2*$A69))-SIN((2*ACOS(1-2*$A69)))))/(D$3*(2*ACOS(1-2*$A69))/2))^(2.5*SQRT(К1!$H$9)-0.13-0.75*SQRT(((D$3^2/8*((2*ACOS(1-2*$A69))-SIN((2*ACOS(1-2*$A69)))))/(D$3*(2*ACOS(1-2*$A69))/2)))*(SQRT(К1!$H$9)-0.1))/К1!$H$9*SQRT(((D$3^2/8*((2*ACOS(1-2*$A69))-SIN((2*ACOS(1-2*$A69)))))/(D$3*(2*ACOS(1-2*$A69))/2))*D$4)</f>
        <v>10.3084088549498</v>
      </c>
      <c r="E69" s="17" t="n">
        <f aca="false">1000*(E$3^2/8*((2*ACOS(1-2*$A69))-SIN((2*ACOS(1-2*$A69)))))*((E$3^2/8*((2*ACOS(1-2*$A69))-SIN((2*ACOS(1-2*$A69)))))/(E$3*(2*ACOS(1-2*$A69))/2))^(2.5*SQRT(К1!$H$9)-0.13-0.75*SQRT(((E$3^2/8*((2*ACOS(1-2*$A69))-SIN((2*ACOS(1-2*$A69)))))/(E$3*(2*ACOS(1-2*$A69))/2)))*(SQRT(К1!$H$9)-0.1))/К1!$H$9*SQRT(((E$3^2/8*((2*ACOS(1-2*$A69))-SIN((2*ACOS(1-2*$A69)))))/(E$3*(2*ACOS(1-2*$A69))/2))*E$4)</f>
        <v>10.3084088549498</v>
      </c>
      <c r="F69" s="17" t="n">
        <f aca="false">1000*(F$3^2/8*((2*ACOS(1-2*$A69))-SIN((2*ACOS(1-2*$A69)))))*((F$3^2/8*((2*ACOS(1-2*$A69))-SIN((2*ACOS(1-2*$A69)))))/(F$3*(2*ACOS(1-2*$A69))/2))^(2.5*SQRT(К1!$H$9)-0.13-0.75*SQRT(((F$3^2/8*((2*ACOS(1-2*$A69))-SIN((2*ACOS(1-2*$A69)))))/(F$3*(2*ACOS(1-2*$A69))/2)))*(SQRT(К1!$H$9)-0.1))/К1!$H$9*SQRT(((F$3^2/8*((2*ACOS(1-2*$A69))-SIN((2*ACOS(1-2*$A69)))))/(F$3*(2*ACOS(1-2*$A69))/2))*F$4)</f>
        <v>10.3084088549498</v>
      </c>
    </row>
    <row r="70" customFormat="false" ht="15" hidden="false" customHeight="false" outlineLevel="0" collapsed="false">
      <c r="A70" s="16" t="n">
        <v>0.69</v>
      </c>
      <c r="B70" s="17" t="n">
        <f aca="false">1000*(B$3^2/8*((2*ACOS(1-2*$A70))-SIN((2*ACOS(1-2*$A70)))))*((B$3^2/8*((2*ACOS(1-2*$A70))-SIN((2*ACOS(1-2*$A70)))))/(B$3*(2*ACOS(1-2*$A70))/2))^(2.5*SQRT(К1!$H$9)-0.13-0.75*SQRT(((B$3^2/8*((2*ACOS(1-2*$A70))-SIN((2*ACOS(1-2*$A70)))))/(B$3*(2*ACOS(1-2*$A70))/2)))*(SQRT(К1!$H$9)-0.1))/К1!$H$9*SQRT(((B$3^2/8*((2*ACOS(1-2*$A70))-SIN((2*ACOS(1-2*$A70)))))/(B$3*(2*ACOS(1-2*$A70))/2))*B$4)</f>
        <v>5.63594904333987</v>
      </c>
      <c r="C70" s="17" t="n">
        <f aca="false">1000*(C$3^2/8*((2*ACOS(1-2*$A70))-SIN((2*ACOS(1-2*$A70)))))*((C$3^2/8*((2*ACOS(1-2*$A70))-SIN((2*ACOS(1-2*$A70)))))/(C$3*(2*ACOS(1-2*$A70))/2))^(2.5*SQRT(К1!$H$9)-0.13-0.75*SQRT(((C$3^2/8*((2*ACOS(1-2*$A70))-SIN((2*ACOS(1-2*$A70)))))/(C$3*(2*ACOS(1-2*$A70))/2)))*(SQRT(К1!$H$9)-0.1))/К1!$H$9*SQRT(((C$3^2/8*((2*ACOS(1-2*$A70))-SIN((2*ACOS(1-2*$A70)))))/(C$3*(2*ACOS(1-2*$A70))/2))*C$4)</f>
        <v>5.63594904333987</v>
      </c>
      <c r="D70" s="17" t="n">
        <f aca="false">1000*(D$3^2/8*((2*ACOS(1-2*$A70))-SIN((2*ACOS(1-2*$A70)))))*((D$3^2/8*((2*ACOS(1-2*$A70))-SIN((2*ACOS(1-2*$A70)))))/(D$3*(2*ACOS(1-2*$A70))/2))^(2.5*SQRT(К1!$H$9)-0.13-0.75*SQRT(((D$3^2/8*((2*ACOS(1-2*$A70))-SIN((2*ACOS(1-2*$A70)))))/(D$3*(2*ACOS(1-2*$A70))/2)))*(SQRT(К1!$H$9)-0.1))/К1!$H$9*SQRT(((D$3^2/8*((2*ACOS(1-2*$A70))-SIN((2*ACOS(1-2*$A70)))))/(D$3*(2*ACOS(1-2*$A70))/2))*D$4)</f>
        <v>10.5129482927257</v>
      </c>
      <c r="E70" s="17" t="n">
        <f aca="false">1000*(E$3^2/8*((2*ACOS(1-2*$A70))-SIN((2*ACOS(1-2*$A70)))))*((E$3^2/8*((2*ACOS(1-2*$A70))-SIN((2*ACOS(1-2*$A70)))))/(E$3*(2*ACOS(1-2*$A70))/2))^(2.5*SQRT(К1!$H$9)-0.13-0.75*SQRT(((E$3^2/8*((2*ACOS(1-2*$A70))-SIN((2*ACOS(1-2*$A70)))))/(E$3*(2*ACOS(1-2*$A70))/2)))*(SQRT(К1!$H$9)-0.1))/К1!$H$9*SQRT(((E$3^2/8*((2*ACOS(1-2*$A70))-SIN((2*ACOS(1-2*$A70)))))/(E$3*(2*ACOS(1-2*$A70))/2))*E$4)</f>
        <v>10.5129482927257</v>
      </c>
      <c r="F70" s="17" t="n">
        <f aca="false">1000*(F$3^2/8*((2*ACOS(1-2*$A70))-SIN((2*ACOS(1-2*$A70)))))*((F$3^2/8*((2*ACOS(1-2*$A70))-SIN((2*ACOS(1-2*$A70)))))/(F$3*(2*ACOS(1-2*$A70))/2))^(2.5*SQRT(К1!$H$9)-0.13-0.75*SQRT(((F$3^2/8*((2*ACOS(1-2*$A70))-SIN((2*ACOS(1-2*$A70)))))/(F$3*(2*ACOS(1-2*$A70))/2)))*(SQRT(К1!$H$9)-0.1))/К1!$H$9*SQRT(((F$3^2/8*((2*ACOS(1-2*$A70))-SIN((2*ACOS(1-2*$A70)))))/(F$3*(2*ACOS(1-2*$A70))/2))*F$4)</f>
        <v>10.5129482927257</v>
      </c>
    </row>
    <row r="71" customFormat="false" ht="15" hidden="false" customHeight="false" outlineLevel="0" collapsed="false">
      <c r="A71" s="16" t="n">
        <v>0.7</v>
      </c>
      <c r="B71" s="17" t="n">
        <f aca="false">1000*(B$3^2/8*((2*ACOS(1-2*$A71))-SIN((2*ACOS(1-2*$A71)))))*((B$3^2/8*((2*ACOS(1-2*$A71))-SIN((2*ACOS(1-2*$A71)))))/(B$3*(2*ACOS(1-2*$A71))/2))^(2.5*SQRT(К1!$H$9)-0.13-0.75*SQRT(((B$3^2/8*((2*ACOS(1-2*$A71))-SIN((2*ACOS(1-2*$A71)))))/(B$3*(2*ACOS(1-2*$A71))/2)))*(SQRT(К1!$H$9)-0.1))/К1!$H$9*SQRT(((B$3^2/8*((2*ACOS(1-2*$A71))-SIN((2*ACOS(1-2*$A71)))))/(B$3*(2*ACOS(1-2*$A71))/2))*B$4)</f>
        <v>5.74405731522263</v>
      </c>
      <c r="C71" s="17" t="n">
        <f aca="false">1000*(C$3^2/8*((2*ACOS(1-2*$A71))-SIN((2*ACOS(1-2*$A71)))))*((C$3^2/8*((2*ACOS(1-2*$A71))-SIN((2*ACOS(1-2*$A71)))))/(C$3*(2*ACOS(1-2*$A71))/2))^(2.5*SQRT(К1!$H$9)-0.13-0.75*SQRT(((C$3^2/8*((2*ACOS(1-2*$A71))-SIN((2*ACOS(1-2*$A71)))))/(C$3*(2*ACOS(1-2*$A71))/2)))*(SQRT(К1!$H$9)-0.1))/К1!$H$9*SQRT(((C$3^2/8*((2*ACOS(1-2*$A71))-SIN((2*ACOS(1-2*$A71)))))/(C$3*(2*ACOS(1-2*$A71))/2))*C$4)</f>
        <v>5.74405731522263</v>
      </c>
      <c r="D71" s="17" t="n">
        <f aca="false">1000*(D$3^2/8*((2*ACOS(1-2*$A71))-SIN((2*ACOS(1-2*$A71)))))*((D$3^2/8*((2*ACOS(1-2*$A71))-SIN((2*ACOS(1-2*$A71)))))/(D$3*(2*ACOS(1-2*$A71))/2))^(2.5*SQRT(К1!$H$9)-0.13-0.75*SQRT(((D$3^2/8*((2*ACOS(1-2*$A71))-SIN((2*ACOS(1-2*$A71)))))/(D$3*(2*ACOS(1-2*$A71))/2)))*(SQRT(К1!$H$9)-0.1))/К1!$H$9*SQRT(((D$3^2/8*((2*ACOS(1-2*$A71))-SIN((2*ACOS(1-2*$A71)))))/(D$3*(2*ACOS(1-2*$A71))/2))*D$4)</f>
        <v>10.7145973622887</v>
      </c>
      <c r="E71" s="17" t="n">
        <f aca="false">1000*(E$3^2/8*((2*ACOS(1-2*$A71))-SIN((2*ACOS(1-2*$A71)))))*((E$3^2/8*((2*ACOS(1-2*$A71))-SIN((2*ACOS(1-2*$A71)))))/(E$3*(2*ACOS(1-2*$A71))/2))^(2.5*SQRT(К1!$H$9)-0.13-0.75*SQRT(((E$3^2/8*((2*ACOS(1-2*$A71))-SIN((2*ACOS(1-2*$A71)))))/(E$3*(2*ACOS(1-2*$A71))/2)))*(SQRT(К1!$H$9)-0.1))/К1!$H$9*SQRT(((E$3^2/8*((2*ACOS(1-2*$A71))-SIN((2*ACOS(1-2*$A71)))))/(E$3*(2*ACOS(1-2*$A71))/2))*E$4)</f>
        <v>10.7145973622887</v>
      </c>
      <c r="F71" s="17" t="n">
        <f aca="false">1000*(F$3^2/8*((2*ACOS(1-2*$A71))-SIN((2*ACOS(1-2*$A71)))))*((F$3^2/8*((2*ACOS(1-2*$A71))-SIN((2*ACOS(1-2*$A71)))))/(F$3*(2*ACOS(1-2*$A71))/2))^(2.5*SQRT(К1!$H$9)-0.13-0.75*SQRT(((F$3^2/8*((2*ACOS(1-2*$A71))-SIN((2*ACOS(1-2*$A71)))))/(F$3*(2*ACOS(1-2*$A71))/2)))*(SQRT(К1!$H$9)-0.1))/К1!$H$9*SQRT(((F$3^2/8*((2*ACOS(1-2*$A71))-SIN((2*ACOS(1-2*$A71)))))/(F$3*(2*ACOS(1-2*$A71))/2))*F$4)</f>
        <v>10.7145973622887</v>
      </c>
    </row>
    <row r="72" customFormat="false" ht="15" hidden="false" customHeight="false" outlineLevel="0" collapsed="false">
      <c r="A72" s="16" t="n">
        <v>0.71</v>
      </c>
      <c r="B72" s="17" t="n">
        <f aca="false">1000*(B$3^2/8*((2*ACOS(1-2*$A72))-SIN((2*ACOS(1-2*$A72)))))*((B$3^2/8*((2*ACOS(1-2*$A72))-SIN((2*ACOS(1-2*$A72)))))/(B$3*(2*ACOS(1-2*$A72))/2))^(2.5*SQRT(К1!$H$9)-0.13-0.75*SQRT(((B$3^2/8*((2*ACOS(1-2*$A72))-SIN((2*ACOS(1-2*$A72)))))/(B$3*(2*ACOS(1-2*$A72))/2)))*(SQRT(К1!$H$9)-0.1))/К1!$H$9*SQRT(((B$3^2/8*((2*ACOS(1-2*$A72))-SIN((2*ACOS(1-2*$A72)))))/(B$3*(2*ACOS(1-2*$A72))/2))*B$4)</f>
        <v>5.85047461334804</v>
      </c>
      <c r="C72" s="17" t="n">
        <f aca="false">1000*(C$3^2/8*((2*ACOS(1-2*$A72))-SIN((2*ACOS(1-2*$A72)))))*((C$3^2/8*((2*ACOS(1-2*$A72))-SIN((2*ACOS(1-2*$A72)))))/(C$3*(2*ACOS(1-2*$A72))/2))^(2.5*SQRT(К1!$H$9)-0.13-0.75*SQRT(((C$3^2/8*((2*ACOS(1-2*$A72))-SIN((2*ACOS(1-2*$A72)))))/(C$3*(2*ACOS(1-2*$A72))/2)))*(SQRT(К1!$H$9)-0.1))/К1!$H$9*SQRT(((C$3^2/8*((2*ACOS(1-2*$A72))-SIN((2*ACOS(1-2*$A72)))))/(C$3*(2*ACOS(1-2*$A72))/2))*C$4)</f>
        <v>5.85047461334804</v>
      </c>
      <c r="D72" s="17" t="n">
        <f aca="false">1000*(D$3^2/8*((2*ACOS(1-2*$A72))-SIN((2*ACOS(1-2*$A72)))))*((D$3^2/8*((2*ACOS(1-2*$A72))-SIN((2*ACOS(1-2*$A72)))))/(D$3*(2*ACOS(1-2*$A72))/2))^(2.5*SQRT(К1!$H$9)-0.13-0.75*SQRT(((D$3^2/8*((2*ACOS(1-2*$A72))-SIN((2*ACOS(1-2*$A72)))))/(D$3*(2*ACOS(1-2*$A72))/2)))*(SQRT(К1!$H$9)-0.1))/К1!$H$9*SQRT(((D$3^2/8*((2*ACOS(1-2*$A72))-SIN((2*ACOS(1-2*$A72)))))/(D$3*(2*ACOS(1-2*$A72))/2))*D$4)</f>
        <v>10.9130925178393</v>
      </c>
      <c r="E72" s="17" t="n">
        <f aca="false">1000*(E$3^2/8*((2*ACOS(1-2*$A72))-SIN((2*ACOS(1-2*$A72)))))*((E$3^2/8*((2*ACOS(1-2*$A72))-SIN((2*ACOS(1-2*$A72)))))/(E$3*(2*ACOS(1-2*$A72))/2))^(2.5*SQRT(К1!$H$9)-0.13-0.75*SQRT(((E$3^2/8*((2*ACOS(1-2*$A72))-SIN((2*ACOS(1-2*$A72)))))/(E$3*(2*ACOS(1-2*$A72))/2)))*(SQRT(К1!$H$9)-0.1))/К1!$H$9*SQRT(((E$3^2/8*((2*ACOS(1-2*$A72))-SIN((2*ACOS(1-2*$A72)))))/(E$3*(2*ACOS(1-2*$A72))/2))*E$4)</f>
        <v>10.9130925178393</v>
      </c>
      <c r="F72" s="17" t="n">
        <f aca="false">1000*(F$3^2/8*((2*ACOS(1-2*$A72))-SIN((2*ACOS(1-2*$A72)))))*((F$3^2/8*((2*ACOS(1-2*$A72))-SIN((2*ACOS(1-2*$A72)))))/(F$3*(2*ACOS(1-2*$A72))/2))^(2.5*SQRT(К1!$H$9)-0.13-0.75*SQRT(((F$3^2/8*((2*ACOS(1-2*$A72))-SIN((2*ACOS(1-2*$A72)))))/(F$3*(2*ACOS(1-2*$A72))/2)))*(SQRT(К1!$H$9)-0.1))/К1!$H$9*SQRT(((F$3^2/8*((2*ACOS(1-2*$A72))-SIN((2*ACOS(1-2*$A72)))))/(F$3*(2*ACOS(1-2*$A72))/2))*F$4)</f>
        <v>10.9130925178393</v>
      </c>
    </row>
    <row r="73" customFormat="false" ht="15" hidden="false" customHeight="false" outlineLevel="0" collapsed="false">
      <c r="A73" s="16" t="n">
        <v>0.72</v>
      </c>
      <c r="B73" s="17" t="n">
        <f aca="false">1000*(B$3^2/8*((2*ACOS(1-2*$A73))-SIN((2*ACOS(1-2*$A73)))))*((B$3^2/8*((2*ACOS(1-2*$A73))-SIN((2*ACOS(1-2*$A73)))))/(B$3*(2*ACOS(1-2*$A73))/2))^(2.5*SQRT(К1!$H$9)-0.13-0.75*SQRT(((B$3^2/8*((2*ACOS(1-2*$A73))-SIN((2*ACOS(1-2*$A73)))))/(B$3*(2*ACOS(1-2*$A73))/2)))*(SQRT(К1!$H$9)-0.1))/К1!$H$9*SQRT(((B$3^2/8*((2*ACOS(1-2*$A73))-SIN((2*ACOS(1-2*$A73)))))/(B$3*(2*ACOS(1-2*$A73))/2))*B$4)</f>
        <v>5.95505532281851</v>
      </c>
      <c r="C73" s="17" t="n">
        <f aca="false">1000*(C$3^2/8*((2*ACOS(1-2*$A73))-SIN((2*ACOS(1-2*$A73)))))*((C$3^2/8*((2*ACOS(1-2*$A73))-SIN((2*ACOS(1-2*$A73)))))/(C$3*(2*ACOS(1-2*$A73))/2))^(2.5*SQRT(К1!$H$9)-0.13-0.75*SQRT(((C$3^2/8*((2*ACOS(1-2*$A73))-SIN((2*ACOS(1-2*$A73)))))/(C$3*(2*ACOS(1-2*$A73))/2)))*(SQRT(К1!$H$9)-0.1))/К1!$H$9*SQRT(((C$3^2/8*((2*ACOS(1-2*$A73))-SIN((2*ACOS(1-2*$A73)))))/(C$3*(2*ACOS(1-2*$A73))/2))*C$4)</f>
        <v>5.95505532281851</v>
      </c>
      <c r="D73" s="17" t="n">
        <f aca="false">1000*(D$3^2/8*((2*ACOS(1-2*$A73))-SIN((2*ACOS(1-2*$A73)))))*((D$3^2/8*((2*ACOS(1-2*$A73))-SIN((2*ACOS(1-2*$A73)))))/(D$3*(2*ACOS(1-2*$A73))/2))^(2.5*SQRT(К1!$H$9)-0.13-0.75*SQRT(((D$3^2/8*((2*ACOS(1-2*$A73))-SIN((2*ACOS(1-2*$A73)))))/(D$3*(2*ACOS(1-2*$A73))/2)))*(SQRT(К1!$H$9)-0.1))/К1!$H$9*SQRT(((D$3^2/8*((2*ACOS(1-2*$A73))-SIN((2*ACOS(1-2*$A73)))))/(D$3*(2*ACOS(1-2*$A73))/2))*D$4)</f>
        <v>11.1081622072874</v>
      </c>
      <c r="E73" s="17" t="n">
        <f aca="false">1000*(E$3^2/8*((2*ACOS(1-2*$A73))-SIN((2*ACOS(1-2*$A73)))))*((E$3^2/8*((2*ACOS(1-2*$A73))-SIN((2*ACOS(1-2*$A73)))))/(E$3*(2*ACOS(1-2*$A73))/2))^(2.5*SQRT(К1!$H$9)-0.13-0.75*SQRT(((E$3^2/8*((2*ACOS(1-2*$A73))-SIN((2*ACOS(1-2*$A73)))))/(E$3*(2*ACOS(1-2*$A73))/2)))*(SQRT(К1!$H$9)-0.1))/К1!$H$9*SQRT(((E$3^2/8*((2*ACOS(1-2*$A73))-SIN((2*ACOS(1-2*$A73)))))/(E$3*(2*ACOS(1-2*$A73))/2))*E$4)</f>
        <v>11.1081622072874</v>
      </c>
      <c r="F73" s="17" t="n">
        <f aca="false">1000*(F$3^2/8*((2*ACOS(1-2*$A73))-SIN((2*ACOS(1-2*$A73)))))*((F$3^2/8*((2*ACOS(1-2*$A73))-SIN((2*ACOS(1-2*$A73)))))/(F$3*(2*ACOS(1-2*$A73))/2))^(2.5*SQRT(К1!$H$9)-0.13-0.75*SQRT(((F$3^2/8*((2*ACOS(1-2*$A73))-SIN((2*ACOS(1-2*$A73)))))/(F$3*(2*ACOS(1-2*$A73))/2)))*(SQRT(К1!$H$9)-0.1))/К1!$H$9*SQRT(((F$3^2/8*((2*ACOS(1-2*$A73))-SIN((2*ACOS(1-2*$A73)))))/(F$3*(2*ACOS(1-2*$A73))/2))*F$4)</f>
        <v>11.1081622072874</v>
      </c>
    </row>
    <row r="74" customFormat="false" ht="15" hidden="false" customHeight="false" outlineLevel="0" collapsed="false">
      <c r="A74" s="16" t="n">
        <v>0.73</v>
      </c>
      <c r="B74" s="17" t="n">
        <f aca="false">1000*(B$3^2/8*((2*ACOS(1-2*$A74))-SIN((2*ACOS(1-2*$A74)))))*((B$3^2/8*((2*ACOS(1-2*$A74))-SIN((2*ACOS(1-2*$A74)))))/(B$3*(2*ACOS(1-2*$A74))/2))^(2.5*SQRT(К1!$H$9)-0.13-0.75*SQRT(((B$3^2/8*((2*ACOS(1-2*$A74))-SIN((2*ACOS(1-2*$A74)))))/(B$3*(2*ACOS(1-2*$A74))/2)))*(SQRT(К1!$H$9)-0.1))/К1!$H$9*SQRT(((B$3^2/8*((2*ACOS(1-2*$A74))-SIN((2*ACOS(1-2*$A74)))))/(B$3*(2*ACOS(1-2*$A74))/2))*B$4)</f>
        <v>6.05764912372385</v>
      </c>
      <c r="C74" s="17" t="n">
        <f aca="false">1000*(C$3^2/8*((2*ACOS(1-2*$A74))-SIN((2*ACOS(1-2*$A74)))))*((C$3^2/8*((2*ACOS(1-2*$A74))-SIN((2*ACOS(1-2*$A74)))))/(C$3*(2*ACOS(1-2*$A74))/2))^(2.5*SQRT(К1!$H$9)-0.13-0.75*SQRT(((C$3^2/8*((2*ACOS(1-2*$A74))-SIN((2*ACOS(1-2*$A74)))))/(C$3*(2*ACOS(1-2*$A74))/2)))*(SQRT(К1!$H$9)-0.1))/К1!$H$9*SQRT(((C$3^2/8*((2*ACOS(1-2*$A74))-SIN((2*ACOS(1-2*$A74)))))/(C$3*(2*ACOS(1-2*$A74))/2))*C$4)</f>
        <v>6.05764912372385</v>
      </c>
      <c r="D74" s="17" t="n">
        <f aca="false">1000*(D$3^2/8*((2*ACOS(1-2*$A74))-SIN((2*ACOS(1-2*$A74)))))*((D$3^2/8*((2*ACOS(1-2*$A74))-SIN((2*ACOS(1-2*$A74)))))/(D$3*(2*ACOS(1-2*$A74))/2))^(2.5*SQRT(К1!$H$9)-0.13-0.75*SQRT(((D$3^2/8*((2*ACOS(1-2*$A74))-SIN((2*ACOS(1-2*$A74)))))/(D$3*(2*ACOS(1-2*$A74))/2)))*(SQRT(К1!$H$9)-0.1))/К1!$H$9*SQRT(((D$3^2/8*((2*ACOS(1-2*$A74))-SIN((2*ACOS(1-2*$A74)))))/(D$3*(2*ACOS(1-2*$A74))/2))*D$4)</f>
        <v>11.299526103772</v>
      </c>
      <c r="E74" s="17" t="n">
        <f aca="false">1000*(E$3^2/8*((2*ACOS(1-2*$A74))-SIN((2*ACOS(1-2*$A74)))))*((E$3^2/8*((2*ACOS(1-2*$A74))-SIN((2*ACOS(1-2*$A74)))))/(E$3*(2*ACOS(1-2*$A74))/2))^(2.5*SQRT(К1!$H$9)-0.13-0.75*SQRT(((E$3^2/8*((2*ACOS(1-2*$A74))-SIN((2*ACOS(1-2*$A74)))))/(E$3*(2*ACOS(1-2*$A74))/2)))*(SQRT(К1!$H$9)-0.1))/К1!$H$9*SQRT(((E$3^2/8*((2*ACOS(1-2*$A74))-SIN((2*ACOS(1-2*$A74)))))/(E$3*(2*ACOS(1-2*$A74))/2))*E$4)</f>
        <v>11.299526103772</v>
      </c>
      <c r="F74" s="17" t="n">
        <f aca="false">1000*(F$3^2/8*((2*ACOS(1-2*$A74))-SIN((2*ACOS(1-2*$A74)))))*((F$3^2/8*((2*ACOS(1-2*$A74))-SIN((2*ACOS(1-2*$A74)))))/(F$3*(2*ACOS(1-2*$A74))/2))^(2.5*SQRT(К1!$H$9)-0.13-0.75*SQRT(((F$3^2/8*((2*ACOS(1-2*$A74))-SIN((2*ACOS(1-2*$A74)))))/(F$3*(2*ACOS(1-2*$A74))/2)))*(SQRT(К1!$H$9)-0.1))/К1!$H$9*SQRT(((F$3^2/8*((2*ACOS(1-2*$A74))-SIN((2*ACOS(1-2*$A74)))))/(F$3*(2*ACOS(1-2*$A74))/2))*F$4)</f>
        <v>11.299526103772</v>
      </c>
    </row>
    <row r="75" customFormat="false" ht="15" hidden="false" customHeight="false" outlineLevel="0" collapsed="false">
      <c r="A75" s="16" t="n">
        <v>0.74</v>
      </c>
      <c r="B75" s="17" t="n">
        <f aca="false">1000*(B$3^2/8*((2*ACOS(1-2*$A75))-SIN((2*ACOS(1-2*$A75)))))*((B$3^2/8*((2*ACOS(1-2*$A75))-SIN((2*ACOS(1-2*$A75)))))/(B$3*(2*ACOS(1-2*$A75))/2))^(2.5*SQRT(К1!$H$9)-0.13-0.75*SQRT(((B$3^2/8*((2*ACOS(1-2*$A75))-SIN((2*ACOS(1-2*$A75)))))/(B$3*(2*ACOS(1-2*$A75))/2)))*(SQRT(К1!$H$9)-0.1))/К1!$H$9*SQRT(((B$3^2/8*((2*ACOS(1-2*$A75))-SIN((2*ACOS(1-2*$A75)))))/(B$3*(2*ACOS(1-2*$A75))/2))*B$4)</f>
        <v>6.15810051578838</v>
      </c>
      <c r="C75" s="17" t="n">
        <f aca="false">1000*(C$3^2/8*((2*ACOS(1-2*$A75))-SIN((2*ACOS(1-2*$A75)))))*((C$3^2/8*((2*ACOS(1-2*$A75))-SIN((2*ACOS(1-2*$A75)))))/(C$3*(2*ACOS(1-2*$A75))/2))^(2.5*SQRT(К1!$H$9)-0.13-0.75*SQRT(((C$3^2/8*((2*ACOS(1-2*$A75))-SIN((2*ACOS(1-2*$A75)))))/(C$3*(2*ACOS(1-2*$A75))/2)))*(SQRT(К1!$H$9)-0.1))/К1!$H$9*SQRT(((C$3^2/8*((2*ACOS(1-2*$A75))-SIN((2*ACOS(1-2*$A75)))))/(C$3*(2*ACOS(1-2*$A75))/2))*C$4)</f>
        <v>6.15810051578838</v>
      </c>
      <c r="D75" s="17" t="n">
        <f aca="false">1000*(D$3^2/8*((2*ACOS(1-2*$A75))-SIN((2*ACOS(1-2*$A75)))))*((D$3^2/8*((2*ACOS(1-2*$A75))-SIN((2*ACOS(1-2*$A75)))))/(D$3*(2*ACOS(1-2*$A75))/2))^(2.5*SQRT(К1!$H$9)-0.13-0.75*SQRT(((D$3^2/8*((2*ACOS(1-2*$A75))-SIN((2*ACOS(1-2*$A75)))))/(D$3*(2*ACOS(1-2*$A75))/2)))*(SQRT(К1!$H$9)-0.1))/К1!$H$9*SQRT(((D$3^2/8*((2*ACOS(1-2*$A75))-SIN((2*ACOS(1-2*$A75)))))/(D$3*(2*ACOS(1-2*$A75))/2))*D$4)</f>
        <v>11.4868942189148</v>
      </c>
      <c r="E75" s="17" t="n">
        <f aca="false">1000*(E$3^2/8*((2*ACOS(1-2*$A75))-SIN((2*ACOS(1-2*$A75)))))*((E$3^2/8*((2*ACOS(1-2*$A75))-SIN((2*ACOS(1-2*$A75)))))/(E$3*(2*ACOS(1-2*$A75))/2))^(2.5*SQRT(К1!$H$9)-0.13-0.75*SQRT(((E$3^2/8*((2*ACOS(1-2*$A75))-SIN((2*ACOS(1-2*$A75)))))/(E$3*(2*ACOS(1-2*$A75))/2)))*(SQRT(К1!$H$9)-0.1))/К1!$H$9*SQRT(((E$3^2/8*((2*ACOS(1-2*$A75))-SIN((2*ACOS(1-2*$A75)))))/(E$3*(2*ACOS(1-2*$A75))/2))*E$4)</f>
        <v>11.4868942189148</v>
      </c>
      <c r="F75" s="17" t="n">
        <f aca="false">1000*(F$3^2/8*((2*ACOS(1-2*$A75))-SIN((2*ACOS(1-2*$A75)))))*((F$3^2/8*((2*ACOS(1-2*$A75))-SIN((2*ACOS(1-2*$A75)))))/(F$3*(2*ACOS(1-2*$A75))/2))^(2.5*SQRT(К1!$H$9)-0.13-0.75*SQRT(((F$3^2/8*((2*ACOS(1-2*$A75))-SIN((2*ACOS(1-2*$A75)))))/(F$3*(2*ACOS(1-2*$A75))/2)))*(SQRT(К1!$H$9)-0.1))/К1!$H$9*SQRT(((F$3^2/8*((2*ACOS(1-2*$A75))-SIN((2*ACOS(1-2*$A75)))))/(F$3*(2*ACOS(1-2*$A75))/2))*F$4)</f>
        <v>11.4868942189148</v>
      </c>
    </row>
    <row r="76" customFormat="false" ht="15" hidden="false" customHeight="false" outlineLevel="0" collapsed="false">
      <c r="A76" s="16" t="n">
        <v>0.75</v>
      </c>
      <c r="B76" s="17" t="n">
        <f aca="false">1000*(B$3^2/8*((2*ACOS(1-2*$A76))-SIN((2*ACOS(1-2*$A76)))))*((B$3^2/8*((2*ACOS(1-2*$A76))-SIN((2*ACOS(1-2*$A76)))))/(B$3*(2*ACOS(1-2*$A76))/2))^(2.5*SQRT(К1!$H$9)-0.13-0.75*SQRT(((B$3^2/8*((2*ACOS(1-2*$A76))-SIN((2*ACOS(1-2*$A76)))))/(B$3*(2*ACOS(1-2*$A76))/2)))*(SQRT(К1!$H$9)-0.1))/К1!$H$9*SQRT(((B$3^2/8*((2*ACOS(1-2*$A76))-SIN((2*ACOS(1-2*$A76)))))/(B$3*(2*ACOS(1-2*$A76))/2))*B$4)</f>
        <v>6.25624826711735</v>
      </c>
      <c r="C76" s="17" t="n">
        <f aca="false">1000*(C$3^2/8*((2*ACOS(1-2*$A76))-SIN((2*ACOS(1-2*$A76)))))*((C$3^2/8*((2*ACOS(1-2*$A76))-SIN((2*ACOS(1-2*$A76)))))/(C$3*(2*ACOS(1-2*$A76))/2))^(2.5*SQRT(К1!$H$9)-0.13-0.75*SQRT(((C$3^2/8*((2*ACOS(1-2*$A76))-SIN((2*ACOS(1-2*$A76)))))/(C$3*(2*ACOS(1-2*$A76))/2)))*(SQRT(К1!$H$9)-0.1))/К1!$H$9*SQRT(((C$3^2/8*((2*ACOS(1-2*$A76))-SIN((2*ACOS(1-2*$A76)))))/(C$3*(2*ACOS(1-2*$A76))/2))*C$4)</f>
        <v>6.25624826711735</v>
      </c>
      <c r="D76" s="17" t="n">
        <f aca="false">1000*(D$3^2/8*((2*ACOS(1-2*$A76))-SIN((2*ACOS(1-2*$A76)))))*((D$3^2/8*((2*ACOS(1-2*$A76))-SIN((2*ACOS(1-2*$A76)))))/(D$3*(2*ACOS(1-2*$A76))/2))^(2.5*SQRT(К1!$H$9)-0.13-0.75*SQRT(((D$3^2/8*((2*ACOS(1-2*$A76))-SIN((2*ACOS(1-2*$A76)))))/(D$3*(2*ACOS(1-2*$A76))/2)))*(SQRT(К1!$H$9)-0.1))/К1!$H$9*SQRT(((D$3^2/8*((2*ACOS(1-2*$A76))-SIN((2*ACOS(1-2*$A76)))))/(D$3*(2*ACOS(1-2*$A76))/2))*D$4)</f>
        <v>11.6699658745029</v>
      </c>
      <c r="E76" s="17" t="n">
        <f aca="false">1000*(E$3^2/8*((2*ACOS(1-2*$A76))-SIN((2*ACOS(1-2*$A76)))))*((E$3^2/8*((2*ACOS(1-2*$A76))-SIN((2*ACOS(1-2*$A76)))))/(E$3*(2*ACOS(1-2*$A76))/2))^(2.5*SQRT(К1!$H$9)-0.13-0.75*SQRT(((E$3^2/8*((2*ACOS(1-2*$A76))-SIN((2*ACOS(1-2*$A76)))))/(E$3*(2*ACOS(1-2*$A76))/2)))*(SQRT(К1!$H$9)-0.1))/К1!$H$9*SQRT(((E$3^2/8*((2*ACOS(1-2*$A76))-SIN((2*ACOS(1-2*$A76)))))/(E$3*(2*ACOS(1-2*$A76))/2))*E$4)</f>
        <v>11.6699658745029</v>
      </c>
      <c r="F76" s="17" t="n">
        <f aca="false">1000*(F$3^2/8*((2*ACOS(1-2*$A76))-SIN((2*ACOS(1-2*$A76)))))*((F$3^2/8*((2*ACOS(1-2*$A76))-SIN((2*ACOS(1-2*$A76)))))/(F$3*(2*ACOS(1-2*$A76))/2))^(2.5*SQRT(К1!$H$9)-0.13-0.75*SQRT(((F$3^2/8*((2*ACOS(1-2*$A76))-SIN((2*ACOS(1-2*$A76)))))/(F$3*(2*ACOS(1-2*$A76))/2)))*(SQRT(К1!$H$9)-0.1))/К1!$H$9*SQRT(((F$3^2/8*((2*ACOS(1-2*$A76))-SIN((2*ACOS(1-2*$A76)))))/(F$3*(2*ACOS(1-2*$A76))/2))*F$4)</f>
        <v>11.6699658745029</v>
      </c>
    </row>
    <row r="77" customFormat="false" ht="15" hidden="false" customHeight="false" outlineLevel="0" collapsed="false">
      <c r="A77" s="16" t="n">
        <v>0.76</v>
      </c>
      <c r="B77" s="17" t="n">
        <f aca="false">1000*(B$3^2/8*((2*ACOS(1-2*$A77))-SIN((2*ACOS(1-2*$A77)))))*((B$3^2/8*((2*ACOS(1-2*$A77))-SIN((2*ACOS(1-2*$A77)))))/(B$3*(2*ACOS(1-2*$A77))/2))^(2.5*SQRT(К1!$H$9)-0.13-0.75*SQRT(((B$3^2/8*((2*ACOS(1-2*$A77))-SIN((2*ACOS(1-2*$A77)))))/(B$3*(2*ACOS(1-2*$A77))/2)))*(SQRT(К1!$H$9)-0.1))/К1!$H$9*SQRT(((B$3^2/8*((2*ACOS(1-2*$A77))-SIN((2*ACOS(1-2*$A77)))))/(B$3*(2*ACOS(1-2*$A77))/2))*B$4)</f>
        <v>6.35192477144227</v>
      </c>
      <c r="C77" s="17" t="n">
        <f aca="false">1000*(C$3^2/8*((2*ACOS(1-2*$A77))-SIN((2*ACOS(1-2*$A77)))))*((C$3^2/8*((2*ACOS(1-2*$A77))-SIN((2*ACOS(1-2*$A77)))))/(C$3*(2*ACOS(1-2*$A77))/2))^(2.5*SQRT(К1!$H$9)-0.13-0.75*SQRT(((C$3^2/8*((2*ACOS(1-2*$A77))-SIN((2*ACOS(1-2*$A77)))))/(C$3*(2*ACOS(1-2*$A77))/2)))*(SQRT(К1!$H$9)-0.1))/К1!$H$9*SQRT(((C$3^2/8*((2*ACOS(1-2*$A77))-SIN((2*ACOS(1-2*$A77)))))/(C$3*(2*ACOS(1-2*$A77))/2))*C$4)</f>
        <v>6.35192477144227</v>
      </c>
      <c r="D77" s="17" t="n">
        <f aca="false">1000*(D$3^2/8*((2*ACOS(1-2*$A77))-SIN((2*ACOS(1-2*$A77)))))*((D$3^2/8*((2*ACOS(1-2*$A77))-SIN((2*ACOS(1-2*$A77)))))/(D$3*(2*ACOS(1-2*$A77))/2))^(2.5*SQRT(К1!$H$9)-0.13-0.75*SQRT(((D$3^2/8*((2*ACOS(1-2*$A77))-SIN((2*ACOS(1-2*$A77)))))/(D$3*(2*ACOS(1-2*$A77))/2)))*(SQRT(К1!$H$9)-0.1))/К1!$H$9*SQRT(((D$3^2/8*((2*ACOS(1-2*$A77))-SIN((2*ACOS(1-2*$A77)))))/(D$3*(2*ACOS(1-2*$A77))/2))*D$4)</f>
        <v>11.8484285035027</v>
      </c>
      <c r="E77" s="17" t="n">
        <f aca="false">1000*(E$3^2/8*((2*ACOS(1-2*$A77))-SIN((2*ACOS(1-2*$A77)))))*((E$3^2/8*((2*ACOS(1-2*$A77))-SIN((2*ACOS(1-2*$A77)))))/(E$3*(2*ACOS(1-2*$A77))/2))^(2.5*SQRT(К1!$H$9)-0.13-0.75*SQRT(((E$3^2/8*((2*ACOS(1-2*$A77))-SIN((2*ACOS(1-2*$A77)))))/(E$3*(2*ACOS(1-2*$A77))/2)))*(SQRT(К1!$H$9)-0.1))/К1!$H$9*SQRT(((E$3^2/8*((2*ACOS(1-2*$A77))-SIN((2*ACOS(1-2*$A77)))))/(E$3*(2*ACOS(1-2*$A77))/2))*E$4)</f>
        <v>11.8484285035027</v>
      </c>
      <c r="F77" s="17" t="n">
        <f aca="false">1000*(F$3^2/8*((2*ACOS(1-2*$A77))-SIN((2*ACOS(1-2*$A77)))))*((F$3^2/8*((2*ACOS(1-2*$A77))-SIN((2*ACOS(1-2*$A77)))))/(F$3*(2*ACOS(1-2*$A77))/2))^(2.5*SQRT(К1!$H$9)-0.13-0.75*SQRT(((F$3^2/8*((2*ACOS(1-2*$A77))-SIN((2*ACOS(1-2*$A77)))))/(F$3*(2*ACOS(1-2*$A77))/2)))*(SQRT(К1!$H$9)-0.1))/К1!$H$9*SQRT(((F$3^2/8*((2*ACOS(1-2*$A77))-SIN((2*ACOS(1-2*$A77)))))/(F$3*(2*ACOS(1-2*$A77))/2))*F$4)</f>
        <v>11.8484285035027</v>
      </c>
    </row>
    <row r="78" customFormat="false" ht="15" hidden="false" customHeight="false" outlineLevel="0" collapsed="false">
      <c r="A78" s="16" t="n">
        <v>0.77</v>
      </c>
      <c r="B78" s="17" t="n">
        <f aca="false">1000*(B$3^2/8*((2*ACOS(1-2*$A78))-SIN((2*ACOS(1-2*$A78)))))*((B$3^2/8*((2*ACOS(1-2*$A78))-SIN((2*ACOS(1-2*$A78)))))/(B$3*(2*ACOS(1-2*$A78))/2))^(2.5*SQRT(К1!$H$9)-0.13-0.75*SQRT(((B$3^2/8*((2*ACOS(1-2*$A78))-SIN((2*ACOS(1-2*$A78)))))/(B$3*(2*ACOS(1-2*$A78))/2)))*(SQRT(К1!$H$9)-0.1))/К1!$H$9*SQRT(((B$3^2/8*((2*ACOS(1-2*$A78))-SIN((2*ACOS(1-2*$A78)))))/(B$3*(2*ACOS(1-2*$A78))/2))*B$4)</f>
        <v>6.44495529421882</v>
      </c>
      <c r="C78" s="17" t="n">
        <f aca="false">1000*(C$3^2/8*((2*ACOS(1-2*$A78))-SIN((2*ACOS(1-2*$A78)))))*((C$3^2/8*((2*ACOS(1-2*$A78))-SIN((2*ACOS(1-2*$A78)))))/(C$3*(2*ACOS(1-2*$A78))/2))^(2.5*SQRT(К1!$H$9)-0.13-0.75*SQRT(((C$3^2/8*((2*ACOS(1-2*$A78))-SIN((2*ACOS(1-2*$A78)))))/(C$3*(2*ACOS(1-2*$A78))/2)))*(SQRT(К1!$H$9)-0.1))/К1!$H$9*SQRT(((C$3^2/8*((2*ACOS(1-2*$A78))-SIN((2*ACOS(1-2*$A78)))))/(C$3*(2*ACOS(1-2*$A78))/2))*C$4)</f>
        <v>6.44495529421882</v>
      </c>
      <c r="D78" s="17" t="n">
        <f aca="false">1000*(D$3^2/8*((2*ACOS(1-2*$A78))-SIN((2*ACOS(1-2*$A78)))))*((D$3^2/8*((2*ACOS(1-2*$A78))-SIN((2*ACOS(1-2*$A78)))))/(D$3*(2*ACOS(1-2*$A78))/2))^(2.5*SQRT(К1!$H$9)-0.13-0.75*SQRT(((D$3^2/8*((2*ACOS(1-2*$A78))-SIN((2*ACOS(1-2*$A78)))))/(D$3*(2*ACOS(1-2*$A78))/2)))*(SQRT(К1!$H$9)-0.1))/К1!$H$9*SQRT(((D$3^2/8*((2*ACOS(1-2*$A78))-SIN((2*ACOS(1-2*$A78)))))/(D$3*(2*ACOS(1-2*$A78))/2))*D$4)</f>
        <v>12.021956243763</v>
      </c>
      <c r="E78" s="17" t="n">
        <f aca="false">1000*(E$3^2/8*((2*ACOS(1-2*$A78))-SIN((2*ACOS(1-2*$A78)))))*((E$3^2/8*((2*ACOS(1-2*$A78))-SIN((2*ACOS(1-2*$A78)))))/(E$3*(2*ACOS(1-2*$A78))/2))^(2.5*SQRT(К1!$H$9)-0.13-0.75*SQRT(((E$3^2/8*((2*ACOS(1-2*$A78))-SIN((2*ACOS(1-2*$A78)))))/(E$3*(2*ACOS(1-2*$A78))/2)))*(SQRT(К1!$H$9)-0.1))/К1!$H$9*SQRT(((E$3^2/8*((2*ACOS(1-2*$A78))-SIN((2*ACOS(1-2*$A78)))))/(E$3*(2*ACOS(1-2*$A78))/2))*E$4)</f>
        <v>12.021956243763</v>
      </c>
      <c r="F78" s="17" t="n">
        <f aca="false">1000*(F$3^2/8*((2*ACOS(1-2*$A78))-SIN((2*ACOS(1-2*$A78)))))*((F$3^2/8*((2*ACOS(1-2*$A78))-SIN((2*ACOS(1-2*$A78)))))/(F$3*(2*ACOS(1-2*$A78))/2))^(2.5*SQRT(К1!$H$9)-0.13-0.75*SQRT(((F$3^2/8*((2*ACOS(1-2*$A78))-SIN((2*ACOS(1-2*$A78)))))/(F$3*(2*ACOS(1-2*$A78))/2)))*(SQRT(К1!$H$9)-0.1))/К1!$H$9*SQRT(((F$3^2/8*((2*ACOS(1-2*$A78))-SIN((2*ACOS(1-2*$A78)))))/(F$3*(2*ACOS(1-2*$A78))/2))*F$4)</f>
        <v>12.021956243763</v>
      </c>
    </row>
    <row r="79" customFormat="false" ht="15" hidden="false" customHeight="false" outlineLevel="0" collapsed="false">
      <c r="A79" s="16" t="n">
        <v>0.78</v>
      </c>
      <c r="B79" s="17" t="n">
        <f aca="false">1000*(B$3^2/8*((2*ACOS(1-2*$A79))-SIN((2*ACOS(1-2*$A79)))))*((B$3^2/8*((2*ACOS(1-2*$A79))-SIN((2*ACOS(1-2*$A79)))))/(B$3*(2*ACOS(1-2*$A79))/2))^(2.5*SQRT(К1!$H$9)-0.13-0.75*SQRT(((B$3^2/8*((2*ACOS(1-2*$A79))-SIN((2*ACOS(1-2*$A79)))))/(B$3*(2*ACOS(1-2*$A79))/2)))*(SQRT(К1!$H$9)-0.1))/К1!$H$9*SQRT(((B$3^2/8*((2*ACOS(1-2*$A79))-SIN((2*ACOS(1-2*$A79)))))/(B$3*(2*ACOS(1-2*$A79))/2))*B$4)</f>
        <v>6.5351570826065</v>
      </c>
      <c r="C79" s="17" t="n">
        <f aca="false">1000*(C$3^2/8*((2*ACOS(1-2*$A79))-SIN((2*ACOS(1-2*$A79)))))*((C$3^2/8*((2*ACOS(1-2*$A79))-SIN((2*ACOS(1-2*$A79)))))/(C$3*(2*ACOS(1-2*$A79))/2))^(2.5*SQRT(К1!$H$9)-0.13-0.75*SQRT(((C$3^2/8*((2*ACOS(1-2*$A79))-SIN((2*ACOS(1-2*$A79)))))/(C$3*(2*ACOS(1-2*$A79))/2)))*(SQRT(К1!$H$9)-0.1))/К1!$H$9*SQRT(((C$3^2/8*((2*ACOS(1-2*$A79))-SIN((2*ACOS(1-2*$A79)))))/(C$3*(2*ACOS(1-2*$A79))/2))*C$4)</f>
        <v>6.5351570826065</v>
      </c>
      <c r="D79" s="17" t="n">
        <f aca="false">1000*(D$3^2/8*((2*ACOS(1-2*$A79))-SIN((2*ACOS(1-2*$A79)))))*((D$3^2/8*((2*ACOS(1-2*$A79))-SIN((2*ACOS(1-2*$A79)))))/(D$3*(2*ACOS(1-2*$A79))/2))^(2.5*SQRT(К1!$H$9)-0.13-0.75*SQRT(((D$3^2/8*((2*ACOS(1-2*$A79))-SIN((2*ACOS(1-2*$A79)))))/(D$3*(2*ACOS(1-2*$A79))/2)))*(SQRT(К1!$H$9)-0.1))/К1!$H$9*SQRT(((D$3^2/8*((2*ACOS(1-2*$A79))-SIN((2*ACOS(1-2*$A79)))))/(D$3*(2*ACOS(1-2*$A79))/2))*D$4)</f>
        <v>12.190208277831</v>
      </c>
      <c r="E79" s="17" t="n">
        <f aca="false">1000*(E$3^2/8*((2*ACOS(1-2*$A79))-SIN((2*ACOS(1-2*$A79)))))*((E$3^2/8*((2*ACOS(1-2*$A79))-SIN((2*ACOS(1-2*$A79)))))/(E$3*(2*ACOS(1-2*$A79))/2))^(2.5*SQRT(К1!$H$9)-0.13-0.75*SQRT(((E$3^2/8*((2*ACOS(1-2*$A79))-SIN((2*ACOS(1-2*$A79)))))/(E$3*(2*ACOS(1-2*$A79))/2)))*(SQRT(К1!$H$9)-0.1))/К1!$H$9*SQRT(((E$3^2/8*((2*ACOS(1-2*$A79))-SIN((2*ACOS(1-2*$A79)))))/(E$3*(2*ACOS(1-2*$A79))/2))*E$4)</f>
        <v>12.190208277831</v>
      </c>
      <c r="F79" s="17" t="n">
        <f aca="false">1000*(F$3^2/8*((2*ACOS(1-2*$A79))-SIN((2*ACOS(1-2*$A79)))))*((F$3^2/8*((2*ACOS(1-2*$A79))-SIN((2*ACOS(1-2*$A79)))))/(F$3*(2*ACOS(1-2*$A79))/2))^(2.5*SQRT(К1!$H$9)-0.13-0.75*SQRT(((F$3^2/8*((2*ACOS(1-2*$A79))-SIN((2*ACOS(1-2*$A79)))))/(F$3*(2*ACOS(1-2*$A79))/2)))*(SQRT(К1!$H$9)-0.1))/К1!$H$9*SQRT(((F$3^2/8*((2*ACOS(1-2*$A79))-SIN((2*ACOS(1-2*$A79)))))/(F$3*(2*ACOS(1-2*$A79))/2))*F$4)</f>
        <v>12.190208277831</v>
      </c>
    </row>
    <row r="80" customFormat="false" ht="15" hidden="false" customHeight="false" outlineLevel="0" collapsed="false">
      <c r="A80" s="16" t="n">
        <v>0.79</v>
      </c>
      <c r="B80" s="17" t="n">
        <f aca="false">1000*(B$3^2/8*((2*ACOS(1-2*$A80))-SIN((2*ACOS(1-2*$A80)))))*((B$3^2/8*((2*ACOS(1-2*$A80))-SIN((2*ACOS(1-2*$A80)))))/(B$3*(2*ACOS(1-2*$A80))/2))^(2.5*SQRT(К1!$H$9)-0.13-0.75*SQRT(((B$3^2/8*((2*ACOS(1-2*$A80))-SIN((2*ACOS(1-2*$A80)))))/(B$3*(2*ACOS(1-2*$A80))/2)))*(SQRT(К1!$H$9)-0.1))/К1!$H$9*SQRT(((B$3^2/8*((2*ACOS(1-2*$A80))-SIN((2*ACOS(1-2*$A80)))))/(B$3*(2*ACOS(1-2*$A80))/2))*B$4)</f>
        <v>6.62233830727155</v>
      </c>
      <c r="C80" s="17" t="n">
        <f aca="false">1000*(C$3^2/8*((2*ACOS(1-2*$A80))-SIN((2*ACOS(1-2*$A80)))))*((C$3^2/8*((2*ACOS(1-2*$A80))-SIN((2*ACOS(1-2*$A80)))))/(C$3*(2*ACOS(1-2*$A80))/2))^(2.5*SQRT(К1!$H$9)-0.13-0.75*SQRT(((C$3^2/8*((2*ACOS(1-2*$A80))-SIN((2*ACOS(1-2*$A80)))))/(C$3*(2*ACOS(1-2*$A80))/2)))*(SQRT(К1!$H$9)-0.1))/К1!$H$9*SQRT(((C$3^2/8*((2*ACOS(1-2*$A80))-SIN((2*ACOS(1-2*$A80)))))/(C$3*(2*ACOS(1-2*$A80))/2))*C$4)</f>
        <v>6.62233830727155</v>
      </c>
      <c r="D80" s="17" t="n">
        <f aca="false">1000*(D$3^2/8*((2*ACOS(1-2*$A80))-SIN((2*ACOS(1-2*$A80)))))*((D$3^2/8*((2*ACOS(1-2*$A80))-SIN((2*ACOS(1-2*$A80)))))/(D$3*(2*ACOS(1-2*$A80))/2))^(2.5*SQRT(К1!$H$9)-0.13-0.75*SQRT(((D$3^2/8*((2*ACOS(1-2*$A80))-SIN((2*ACOS(1-2*$A80)))))/(D$3*(2*ACOS(1-2*$A80))/2)))*(SQRT(К1!$H$9)-0.1))/К1!$H$9*SQRT(((D$3^2/8*((2*ACOS(1-2*$A80))-SIN((2*ACOS(1-2*$A80)))))/(D$3*(2*ACOS(1-2*$A80))/2))*D$4)</f>
        <v>12.3528268590906</v>
      </c>
      <c r="E80" s="17" t="n">
        <f aca="false">1000*(E$3^2/8*((2*ACOS(1-2*$A80))-SIN((2*ACOS(1-2*$A80)))))*((E$3^2/8*((2*ACOS(1-2*$A80))-SIN((2*ACOS(1-2*$A80)))))/(E$3*(2*ACOS(1-2*$A80))/2))^(2.5*SQRT(К1!$H$9)-0.13-0.75*SQRT(((E$3^2/8*((2*ACOS(1-2*$A80))-SIN((2*ACOS(1-2*$A80)))))/(E$3*(2*ACOS(1-2*$A80))/2)))*(SQRT(К1!$H$9)-0.1))/К1!$H$9*SQRT(((E$3^2/8*((2*ACOS(1-2*$A80))-SIN((2*ACOS(1-2*$A80)))))/(E$3*(2*ACOS(1-2*$A80))/2))*E$4)</f>
        <v>12.3528268590906</v>
      </c>
      <c r="F80" s="17" t="n">
        <f aca="false">1000*(F$3^2/8*((2*ACOS(1-2*$A80))-SIN((2*ACOS(1-2*$A80)))))*((F$3^2/8*((2*ACOS(1-2*$A80))-SIN((2*ACOS(1-2*$A80)))))/(F$3*(2*ACOS(1-2*$A80))/2))^(2.5*SQRT(К1!$H$9)-0.13-0.75*SQRT(((F$3^2/8*((2*ACOS(1-2*$A80))-SIN((2*ACOS(1-2*$A80)))))/(F$3*(2*ACOS(1-2*$A80))/2)))*(SQRT(К1!$H$9)-0.1))/К1!$H$9*SQRT(((F$3^2/8*((2*ACOS(1-2*$A80))-SIN((2*ACOS(1-2*$A80)))))/(F$3*(2*ACOS(1-2*$A80))/2))*F$4)</f>
        <v>12.3528268590906</v>
      </c>
    </row>
    <row r="81" customFormat="false" ht="15" hidden="false" customHeight="false" outlineLevel="0" collapsed="false">
      <c r="A81" s="16" t="n">
        <v>0.8</v>
      </c>
      <c r="B81" s="17" t="n">
        <f aca="false">1000*(B$3^2/8*((2*ACOS(1-2*$A81))-SIN((2*ACOS(1-2*$A81)))))*((B$3^2/8*((2*ACOS(1-2*$A81))-SIN((2*ACOS(1-2*$A81)))))/(B$3*(2*ACOS(1-2*$A81))/2))^(2.5*SQRT(К1!$H$9)-0.13-0.75*SQRT(((B$3^2/8*((2*ACOS(1-2*$A81))-SIN((2*ACOS(1-2*$A81)))))/(B$3*(2*ACOS(1-2*$A81))/2)))*(SQRT(К1!$H$9)-0.1))/К1!$H$9*SQRT(((B$3^2/8*((2*ACOS(1-2*$A81))-SIN((2*ACOS(1-2*$A81)))))/(B$3*(2*ACOS(1-2*$A81))/2))*B$4)</f>
        <v>6.70629679440356</v>
      </c>
      <c r="C81" s="17" t="n">
        <f aca="false">1000*(C$3^2/8*((2*ACOS(1-2*$A81))-SIN((2*ACOS(1-2*$A81)))))*((C$3^2/8*((2*ACOS(1-2*$A81))-SIN((2*ACOS(1-2*$A81)))))/(C$3*(2*ACOS(1-2*$A81))/2))^(2.5*SQRT(К1!$H$9)-0.13-0.75*SQRT(((C$3^2/8*((2*ACOS(1-2*$A81))-SIN((2*ACOS(1-2*$A81)))))/(C$3*(2*ACOS(1-2*$A81))/2)))*(SQRT(К1!$H$9)-0.1))/К1!$H$9*SQRT(((C$3^2/8*((2*ACOS(1-2*$A81))-SIN((2*ACOS(1-2*$A81)))))/(C$3*(2*ACOS(1-2*$A81))/2))*C$4)</f>
        <v>6.70629679440356</v>
      </c>
      <c r="D81" s="17" t="n">
        <f aca="false">1000*(D$3^2/8*((2*ACOS(1-2*$A81))-SIN((2*ACOS(1-2*$A81)))))*((D$3^2/8*((2*ACOS(1-2*$A81))-SIN((2*ACOS(1-2*$A81)))))/(D$3*(2*ACOS(1-2*$A81))/2))^(2.5*SQRT(К1!$H$9)-0.13-0.75*SQRT(((D$3^2/8*((2*ACOS(1-2*$A81))-SIN((2*ACOS(1-2*$A81)))))/(D$3*(2*ACOS(1-2*$A81))/2)))*(SQRT(К1!$H$9)-0.1))/К1!$H$9*SQRT(((D$3^2/8*((2*ACOS(1-2*$A81))-SIN((2*ACOS(1-2*$A81)))))/(D$3*(2*ACOS(1-2*$A81))/2))*D$4)</f>
        <v>12.5094349466119</v>
      </c>
      <c r="E81" s="17" t="n">
        <f aca="false">1000*(E$3^2/8*((2*ACOS(1-2*$A81))-SIN((2*ACOS(1-2*$A81)))))*((E$3^2/8*((2*ACOS(1-2*$A81))-SIN((2*ACOS(1-2*$A81)))))/(E$3*(2*ACOS(1-2*$A81))/2))^(2.5*SQRT(К1!$H$9)-0.13-0.75*SQRT(((E$3^2/8*((2*ACOS(1-2*$A81))-SIN((2*ACOS(1-2*$A81)))))/(E$3*(2*ACOS(1-2*$A81))/2)))*(SQRT(К1!$H$9)-0.1))/К1!$H$9*SQRT(((E$3^2/8*((2*ACOS(1-2*$A81))-SIN((2*ACOS(1-2*$A81)))))/(E$3*(2*ACOS(1-2*$A81))/2))*E$4)</f>
        <v>12.5094349466119</v>
      </c>
      <c r="F81" s="17" t="n">
        <f aca="false">1000*(F$3^2/8*((2*ACOS(1-2*$A81))-SIN((2*ACOS(1-2*$A81)))))*((F$3^2/8*((2*ACOS(1-2*$A81))-SIN((2*ACOS(1-2*$A81)))))/(F$3*(2*ACOS(1-2*$A81))/2))^(2.5*SQRT(К1!$H$9)-0.13-0.75*SQRT(((F$3^2/8*((2*ACOS(1-2*$A81))-SIN((2*ACOS(1-2*$A81)))))/(F$3*(2*ACOS(1-2*$A81))/2)))*(SQRT(К1!$H$9)-0.1))/К1!$H$9*SQRT(((F$3^2/8*((2*ACOS(1-2*$A81))-SIN((2*ACOS(1-2*$A81)))))/(F$3*(2*ACOS(1-2*$A81))/2))*F$4)</f>
        <v>12.5094349466119</v>
      </c>
    </row>
    <row r="82" customFormat="false" ht="15" hidden="false" customHeight="false" outlineLevel="0" collapsed="false">
      <c r="A82" s="16" t="n">
        <v>0.81</v>
      </c>
      <c r="B82" s="17" t="n">
        <f aca="false">1000*(B$3^2/8*((2*ACOS(1-2*$A82))-SIN((2*ACOS(1-2*$A82)))))*((B$3^2/8*((2*ACOS(1-2*$A82))-SIN((2*ACOS(1-2*$A82)))))/(B$3*(2*ACOS(1-2*$A82))/2))^(2.5*SQRT(К1!$H$9)-0.13-0.75*SQRT(((B$3^2/8*((2*ACOS(1-2*$A82))-SIN((2*ACOS(1-2*$A82)))))/(B$3*(2*ACOS(1-2*$A82))/2)))*(SQRT(К1!$H$9)-0.1))/К1!$H$9*SQRT(((B$3^2/8*((2*ACOS(1-2*$A82))-SIN((2*ACOS(1-2*$A82)))))/(B$3*(2*ACOS(1-2*$A82))/2))*B$4)</f>
        <v>6.78681849329468</v>
      </c>
      <c r="C82" s="17" t="n">
        <f aca="false">1000*(C$3^2/8*((2*ACOS(1-2*$A82))-SIN((2*ACOS(1-2*$A82)))))*((C$3^2/8*((2*ACOS(1-2*$A82))-SIN((2*ACOS(1-2*$A82)))))/(C$3*(2*ACOS(1-2*$A82))/2))^(2.5*SQRT(К1!$H$9)-0.13-0.75*SQRT(((C$3^2/8*((2*ACOS(1-2*$A82))-SIN((2*ACOS(1-2*$A82)))))/(C$3*(2*ACOS(1-2*$A82))/2)))*(SQRT(К1!$H$9)-0.1))/К1!$H$9*SQRT(((C$3^2/8*((2*ACOS(1-2*$A82))-SIN((2*ACOS(1-2*$A82)))))/(C$3*(2*ACOS(1-2*$A82))/2))*C$4)</f>
        <v>6.78681849329468</v>
      </c>
      <c r="D82" s="17" t="n">
        <f aca="false">1000*(D$3^2/8*((2*ACOS(1-2*$A82))-SIN((2*ACOS(1-2*$A82)))))*((D$3^2/8*((2*ACOS(1-2*$A82))-SIN((2*ACOS(1-2*$A82)))))/(D$3*(2*ACOS(1-2*$A82))/2))^(2.5*SQRT(К1!$H$9)-0.13-0.75*SQRT(((D$3^2/8*((2*ACOS(1-2*$A82))-SIN((2*ACOS(1-2*$A82)))))/(D$3*(2*ACOS(1-2*$A82))/2)))*(SQRT(К1!$H$9)-0.1))/К1!$H$9*SQRT(((D$3^2/8*((2*ACOS(1-2*$A82))-SIN((2*ACOS(1-2*$A82)))))/(D$3*(2*ACOS(1-2*$A82))/2))*D$4)</f>
        <v>12.6596333467841</v>
      </c>
      <c r="E82" s="17" t="n">
        <f aca="false">1000*(E$3^2/8*((2*ACOS(1-2*$A82))-SIN((2*ACOS(1-2*$A82)))))*((E$3^2/8*((2*ACOS(1-2*$A82))-SIN((2*ACOS(1-2*$A82)))))/(E$3*(2*ACOS(1-2*$A82))/2))^(2.5*SQRT(К1!$H$9)-0.13-0.75*SQRT(((E$3^2/8*((2*ACOS(1-2*$A82))-SIN((2*ACOS(1-2*$A82)))))/(E$3*(2*ACOS(1-2*$A82))/2)))*(SQRT(К1!$H$9)-0.1))/К1!$H$9*SQRT(((E$3^2/8*((2*ACOS(1-2*$A82))-SIN((2*ACOS(1-2*$A82)))))/(E$3*(2*ACOS(1-2*$A82))/2))*E$4)</f>
        <v>12.6596333467841</v>
      </c>
      <c r="F82" s="17" t="n">
        <f aca="false">1000*(F$3^2/8*((2*ACOS(1-2*$A82))-SIN((2*ACOS(1-2*$A82)))))*((F$3^2/8*((2*ACOS(1-2*$A82))-SIN((2*ACOS(1-2*$A82)))))/(F$3*(2*ACOS(1-2*$A82))/2))^(2.5*SQRT(К1!$H$9)-0.13-0.75*SQRT(((F$3^2/8*((2*ACOS(1-2*$A82))-SIN((2*ACOS(1-2*$A82)))))/(F$3*(2*ACOS(1-2*$A82))/2)))*(SQRT(К1!$H$9)-0.1))/К1!$H$9*SQRT(((F$3^2/8*((2*ACOS(1-2*$A82))-SIN((2*ACOS(1-2*$A82)))))/(F$3*(2*ACOS(1-2*$A82))/2))*F$4)</f>
        <v>12.6596333467841</v>
      </c>
    </row>
    <row r="83" customFormat="false" ht="15" hidden="false" customHeight="false" outlineLevel="0" collapsed="false">
      <c r="A83" s="16" t="n">
        <v>0.82</v>
      </c>
      <c r="B83" s="17" t="n">
        <f aca="false">1000*(B$3^2/8*((2*ACOS(1-2*$A83))-SIN((2*ACOS(1-2*$A83)))))*((B$3^2/8*((2*ACOS(1-2*$A83))-SIN((2*ACOS(1-2*$A83)))))/(B$3*(2*ACOS(1-2*$A83))/2))^(2.5*SQRT(К1!$H$9)-0.13-0.75*SQRT(((B$3^2/8*((2*ACOS(1-2*$A83))-SIN((2*ACOS(1-2*$A83)))))/(B$3*(2*ACOS(1-2*$A83))/2)))*(SQRT(К1!$H$9)-0.1))/К1!$H$9*SQRT(((B$3^2/8*((2*ACOS(1-2*$A83))-SIN((2*ACOS(1-2*$A83)))))/(B$3*(2*ACOS(1-2*$A83))/2))*B$4)</f>
        <v>6.86367560675941</v>
      </c>
      <c r="C83" s="17" t="n">
        <f aca="false">1000*(C$3^2/8*((2*ACOS(1-2*$A83))-SIN((2*ACOS(1-2*$A83)))))*((C$3^2/8*((2*ACOS(1-2*$A83))-SIN((2*ACOS(1-2*$A83)))))/(C$3*(2*ACOS(1-2*$A83))/2))^(2.5*SQRT(К1!$H$9)-0.13-0.75*SQRT(((C$3^2/8*((2*ACOS(1-2*$A83))-SIN((2*ACOS(1-2*$A83)))))/(C$3*(2*ACOS(1-2*$A83))/2)))*(SQRT(К1!$H$9)-0.1))/К1!$H$9*SQRT(((C$3^2/8*((2*ACOS(1-2*$A83))-SIN((2*ACOS(1-2*$A83)))))/(C$3*(2*ACOS(1-2*$A83))/2))*C$4)</f>
        <v>6.86367560675941</v>
      </c>
      <c r="D83" s="17" t="n">
        <f aca="false">1000*(D$3^2/8*((2*ACOS(1-2*$A83))-SIN((2*ACOS(1-2*$A83)))))*((D$3^2/8*((2*ACOS(1-2*$A83))-SIN((2*ACOS(1-2*$A83)))))/(D$3*(2*ACOS(1-2*$A83))/2))^(2.5*SQRT(К1!$H$9)-0.13-0.75*SQRT(((D$3^2/8*((2*ACOS(1-2*$A83))-SIN((2*ACOS(1-2*$A83)))))/(D$3*(2*ACOS(1-2*$A83))/2)))*(SQRT(К1!$H$9)-0.1))/К1!$H$9*SQRT(((D$3^2/8*((2*ACOS(1-2*$A83))-SIN((2*ACOS(1-2*$A83)))))/(D$3*(2*ACOS(1-2*$A83))/2))*D$4)</f>
        <v>12.8029972260931</v>
      </c>
      <c r="E83" s="17" t="n">
        <f aca="false">1000*(E$3^2/8*((2*ACOS(1-2*$A83))-SIN((2*ACOS(1-2*$A83)))))*((E$3^2/8*((2*ACOS(1-2*$A83))-SIN((2*ACOS(1-2*$A83)))))/(E$3*(2*ACOS(1-2*$A83))/2))^(2.5*SQRT(К1!$H$9)-0.13-0.75*SQRT(((E$3^2/8*((2*ACOS(1-2*$A83))-SIN((2*ACOS(1-2*$A83)))))/(E$3*(2*ACOS(1-2*$A83))/2)))*(SQRT(К1!$H$9)-0.1))/К1!$H$9*SQRT(((E$3^2/8*((2*ACOS(1-2*$A83))-SIN((2*ACOS(1-2*$A83)))))/(E$3*(2*ACOS(1-2*$A83))/2))*E$4)</f>
        <v>12.8029972260931</v>
      </c>
      <c r="F83" s="17" t="n">
        <f aca="false">1000*(F$3^2/8*((2*ACOS(1-2*$A83))-SIN((2*ACOS(1-2*$A83)))))*((F$3^2/8*((2*ACOS(1-2*$A83))-SIN((2*ACOS(1-2*$A83)))))/(F$3*(2*ACOS(1-2*$A83))/2))^(2.5*SQRT(К1!$H$9)-0.13-0.75*SQRT(((F$3^2/8*((2*ACOS(1-2*$A83))-SIN((2*ACOS(1-2*$A83)))))/(F$3*(2*ACOS(1-2*$A83))/2)))*(SQRT(К1!$H$9)-0.1))/К1!$H$9*SQRT(((F$3^2/8*((2*ACOS(1-2*$A83))-SIN((2*ACOS(1-2*$A83)))))/(F$3*(2*ACOS(1-2*$A83))/2))*F$4)</f>
        <v>12.8029972260931</v>
      </c>
    </row>
    <row r="84" customFormat="false" ht="15" hidden="false" customHeight="false" outlineLevel="0" collapsed="false">
      <c r="A84" s="16" t="n">
        <v>0.83</v>
      </c>
      <c r="B84" s="17" t="n">
        <f aca="false">1000*(B$3^2/8*((2*ACOS(1-2*$A84))-SIN((2*ACOS(1-2*$A84)))))*((B$3^2/8*((2*ACOS(1-2*$A84))-SIN((2*ACOS(1-2*$A84)))))/(B$3*(2*ACOS(1-2*$A84))/2))^(2.5*SQRT(К1!$H$9)-0.13-0.75*SQRT(((B$3^2/8*((2*ACOS(1-2*$A84))-SIN((2*ACOS(1-2*$A84)))))/(B$3*(2*ACOS(1-2*$A84))/2)))*(SQRT(К1!$H$9)-0.1))/К1!$H$9*SQRT(((B$3^2/8*((2*ACOS(1-2*$A84))-SIN((2*ACOS(1-2*$A84)))))/(B$3*(2*ACOS(1-2*$A84))/2))*B$4)</f>
        <v>6.93662428623337</v>
      </c>
      <c r="C84" s="17" t="n">
        <f aca="false">1000*(C$3^2/8*((2*ACOS(1-2*$A84))-SIN((2*ACOS(1-2*$A84)))))*((C$3^2/8*((2*ACOS(1-2*$A84))-SIN((2*ACOS(1-2*$A84)))))/(C$3*(2*ACOS(1-2*$A84))/2))^(2.5*SQRT(К1!$H$9)-0.13-0.75*SQRT(((C$3^2/8*((2*ACOS(1-2*$A84))-SIN((2*ACOS(1-2*$A84)))))/(C$3*(2*ACOS(1-2*$A84))/2)))*(SQRT(К1!$H$9)-0.1))/К1!$H$9*SQRT(((C$3^2/8*((2*ACOS(1-2*$A84))-SIN((2*ACOS(1-2*$A84)))))/(C$3*(2*ACOS(1-2*$A84))/2))*C$4)</f>
        <v>6.93662428623337</v>
      </c>
      <c r="D84" s="17" t="n">
        <f aca="false">1000*(D$3^2/8*((2*ACOS(1-2*$A84))-SIN((2*ACOS(1-2*$A84)))))*((D$3^2/8*((2*ACOS(1-2*$A84))-SIN((2*ACOS(1-2*$A84)))))/(D$3*(2*ACOS(1-2*$A84))/2))^(2.5*SQRT(К1!$H$9)-0.13-0.75*SQRT(((D$3^2/8*((2*ACOS(1-2*$A84))-SIN((2*ACOS(1-2*$A84)))))/(D$3*(2*ACOS(1-2*$A84))/2)))*(SQRT(К1!$H$9)-0.1))/К1!$H$9*SQRT(((D$3^2/8*((2*ACOS(1-2*$A84))-SIN((2*ACOS(1-2*$A84)))))/(D$3*(2*ACOS(1-2*$A84))/2))*D$4)</f>
        <v>12.9390718119622</v>
      </c>
      <c r="E84" s="17" t="n">
        <f aca="false">1000*(E$3^2/8*((2*ACOS(1-2*$A84))-SIN((2*ACOS(1-2*$A84)))))*((E$3^2/8*((2*ACOS(1-2*$A84))-SIN((2*ACOS(1-2*$A84)))))/(E$3*(2*ACOS(1-2*$A84))/2))^(2.5*SQRT(К1!$H$9)-0.13-0.75*SQRT(((E$3^2/8*((2*ACOS(1-2*$A84))-SIN((2*ACOS(1-2*$A84)))))/(E$3*(2*ACOS(1-2*$A84))/2)))*(SQRT(К1!$H$9)-0.1))/К1!$H$9*SQRT(((E$3^2/8*((2*ACOS(1-2*$A84))-SIN((2*ACOS(1-2*$A84)))))/(E$3*(2*ACOS(1-2*$A84))/2))*E$4)</f>
        <v>12.9390718119622</v>
      </c>
      <c r="F84" s="17" t="n">
        <f aca="false">1000*(F$3^2/8*((2*ACOS(1-2*$A84))-SIN((2*ACOS(1-2*$A84)))))*((F$3^2/8*((2*ACOS(1-2*$A84))-SIN((2*ACOS(1-2*$A84)))))/(F$3*(2*ACOS(1-2*$A84))/2))^(2.5*SQRT(К1!$H$9)-0.13-0.75*SQRT(((F$3^2/8*((2*ACOS(1-2*$A84))-SIN((2*ACOS(1-2*$A84)))))/(F$3*(2*ACOS(1-2*$A84))/2)))*(SQRT(К1!$H$9)-0.1))/К1!$H$9*SQRT(((F$3^2/8*((2*ACOS(1-2*$A84))-SIN((2*ACOS(1-2*$A84)))))/(F$3*(2*ACOS(1-2*$A84))/2))*F$4)</f>
        <v>12.9390718119622</v>
      </c>
    </row>
    <row r="85" customFormat="false" ht="15" hidden="false" customHeight="false" outlineLevel="0" collapsed="false">
      <c r="A85" s="16" t="n">
        <v>0.84</v>
      </c>
      <c r="B85" s="17" t="n">
        <f aca="false">1000*(B$3^2/8*((2*ACOS(1-2*$A85))-SIN((2*ACOS(1-2*$A85)))))*((B$3^2/8*((2*ACOS(1-2*$A85))-SIN((2*ACOS(1-2*$A85)))))/(B$3*(2*ACOS(1-2*$A85))/2))^(2.5*SQRT(К1!$H$9)-0.13-0.75*SQRT(((B$3^2/8*((2*ACOS(1-2*$A85))-SIN((2*ACOS(1-2*$A85)))))/(B$3*(2*ACOS(1-2*$A85))/2)))*(SQRT(К1!$H$9)-0.1))/К1!$H$9*SQRT(((B$3^2/8*((2*ACOS(1-2*$A85))-SIN((2*ACOS(1-2*$A85)))))/(B$3*(2*ACOS(1-2*$A85))/2))*B$4)</f>
        <v>7.00540175693874</v>
      </c>
      <c r="C85" s="17" t="n">
        <f aca="false">1000*(C$3^2/8*((2*ACOS(1-2*$A85))-SIN((2*ACOS(1-2*$A85)))))*((C$3^2/8*((2*ACOS(1-2*$A85))-SIN((2*ACOS(1-2*$A85)))))/(C$3*(2*ACOS(1-2*$A85))/2))^(2.5*SQRT(К1!$H$9)-0.13-0.75*SQRT(((C$3^2/8*((2*ACOS(1-2*$A85))-SIN((2*ACOS(1-2*$A85)))))/(C$3*(2*ACOS(1-2*$A85))/2)))*(SQRT(К1!$H$9)-0.1))/К1!$H$9*SQRT(((C$3^2/8*((2*ACOS(1-2*$A85))-SIN((2*ACOS(1-2*$A85)))))/(C$3*(2*ACOS(1-2*$A85))/2))*C$4)</f>
        <v>7.00540175693874</v>
      </c>
      <c r="D85" s="17" t="n">
        <f aca="false">1000*(D$3^2/8*((2*ACOS(1-2*$A85))-SIN((2*ACOS(1-2*$A85)))))*((D$3^2/8*((2*ACOS(1-2*$A85))-SIN((2*ACOS(1-2*$A85)))))/(D$3*(2*ACOS(1-2*$A85))/2))^(2.5*SQRT(К1!$H$9)-0.13-0.75*SQRT(((D$3^2/8*((2*ACOS(1-2*$A85))-SIN((2*ACOS(1-2*$A85)))))/(D$3*(2*ACOS(1-2*$A85))/2)))*(SQRT(К1!$H$9)-0.1))/К1!$H$9*SQRT(((D$3^2/8*((2*ACOS(1-2*$A85))-SIN((2*ACOS(1-2*$A85)))))/(D$3*(2*ACOS(1-2*$A85))/2))*D$4)</f>
        <v>13.0673670305869</v>
      </c>
      <c r="E85" s="17" t="n">
        <f aca="false">1000*(E$3^2/8*((2*ACOS(1-2*$A85))-SIN((2*ACOS(1-2*$A85)))))*((E$3^2/8*((2*ACOS(1-2*$A85))-SIN((2*ACOS(1-2*$A85)))))/(E$3*(2*ACOS(1-2*$A85))/2))^(2.5*SQRT(К1!$H$9)-0.13-0.75*SQRT(((E$3^2/8*((2*ACOS(1-2*$A85))-SIN((2*ACOS(1-2*$A85)))))/(E$3*(2*ACOS(1-2*$A85))/2)))*(SQRT(К1!$H$9)-0.1))/К1!$H$9*SQRT(((E$3^2/8*((2*ACOS(1-2*$A85))-SIN((2*ACOS(1-2*$A85)))))/(E$3*(2*ACOS(1-2*$A85))/2))*E$4)</f>
        <v>13.0673670305869</v>
      </c>
      <c r="F85" s="17" t="n">
        <f aca="false">1000*(F$3^2/8*((2*ACOS(1-2*$A85))-SIN((2*ACOS(1-2*$A85)))))*((F$3^2/8*((2*ACOS(1-2*$A85))-SIN((2*ACOS(1-2*$A85)))))/(F$3*(2*ACOS(1-2*$A85))/2))^(2.5*SQRT(К1!$H$9)-0.13-0.75*SQRT(((F$3^2/8*((2*ACOS(1-2*$A85))-SIN((2*ACOS(1-2*$A85)))))/(F$3*(2*ACOS(1-2*$A85))/2)))*(SQRT(К1!$H$9)-0.1))/К1!$H$9*SQRT(((F$3^2/8*((2*ACOS(1-2*$A85))-SIN((2*ACOS(1-2*$A85)))))/(F$3*(2*ACOS(1-2*$A85))/2))*F$4)</f>
        <v>13.0673670305869</v>
      </c>
    </row>
    <row r="86" customFormat="false" ht="15" hidden="false" customHeight="false" outlineLevel="0" collapsed="false">
      <c r="A86" s="16" t="n">
        <v>0.85</v>
      </c>
      <c r="B86" s="17" t="n">
        <f aca="false">1000*(B$3^2/8*((2*ACOS(1-2*$A86))-SIN((2*ACOS(1-2*$A86)))))*((B$3^2/8*((2*ACOS(1-2*$A86))-SIN((2*ACOS(1-2*$A86)))))/(B$3*(2*ACOS(1-2*$A86))/2))^(2.5*SQRT(К1!$H$9)-0.13-0.75*SQRT(((B$3^2/8*((2*ACOS(1-2*$A86))-SIN((2*ACOS(1-2*$A86)))))/(B$3*(2*ACOS(1-2*$A86))/2)))*(SQRT(К1!$H$9)-0.1))/К1!$H$9*SQRT(((B$3^2/8*((2*ACOS(1-2*$A86))-SIN((2*ACOS(1-2*$A86)))))/(B$3*(2*ACOS(1-2*$A86))/2))*B$4)</f>
        <v>7.06972268525183</v>
      </c>
      <c r="C86" s="17" t="n">
        <f aca="false">1000*(C$3^2/8*((2*ACOS(1-2*$A86))-SIN((2*ACOS(1-2*$A86)))))*((C$3^2/8*((2*ACOS(1-2*$A86))-SIN((2*ACOS(1-2*$A86)))))/(C$3*(2*ACOS(1-2*$A86))/2))^(2.5*SQRT(К1!$H$9)-0.13-0.75*SQRT(((C$3^2/8*((2*ACOS(1-2*$A86))-SIN((2*ACOS(1-2*$A86)))))/(C$3*(2*ACOS(1-2*$A86))/2)))*(SQRT(К1!$H$9)-0.1))/К1!$H$9*SQRT(((C$3^2/8*((2*ACOS(1-2*$A86))-SIN((2*ACOS(1-2*$A86)))))/(C$3*(2*ACOS(1-2*$A86))/2))*C$4)</f>
        <v>7.06972268525183</v>
      </c>
      <c r="D86" s="17" t="n">
        <f aca="false">1000*(D$3^2/8*((2*ACOS(1-2*$A86))-SIN((2*ACOS(1-2*$A86)))))*((D$3^2/8*((2*ACOS(1-2*$A86))-SIN((2*ACOS(1-2*$A86)))))/(D$3*(2*ACOS(1-2*$A86))/2))^(2.5*SQRT(К1!$H$9)-0.13-0.75*SQRT(((D$3^2/8*((2*ACOS(1-2*$A86))-SIN((2*ACOS(1-2*$A86)))))/(D$3*(2*ACOS(1-2*$A86))/2)))*(SQRT(К1!$H$9)-0.1))/К1!$H$9*SQRT(((D$3^2/8*((2*ACOS(1-2*$A86))-SIN((2*ACOS(1-2*$A86)))))/(D$3*(2*ACOS(1-2*$A86))/2))*D$4)</f>
        <v>13.1873507313764</v>
      </c>
      <c r="E86" s="17" t="n">
        <f aca="false">1000*(E$3^2/8*((2*ACOS(1-2*$A86))-SIN((2*ACOS(1-2*$A86)))))*((E$3^2/8*((2*ACOS(1-2*$A86))-SIN((2*ACOS(1-2*$A86)))))/(E$3*(2*ACOS(1-2*$A86))/2))^(2.5*SQRT(К1!$H$9)-0.13-0.75*SQRT(((E$3^2/8*((2*ACOS(1-2*$A86))-SIN((2*ACOS(1-2*$A86)))))/(E$3*(2*ACOS(1-2*$A86))/2)))*(SQRT(К1!$H$9)-0.1))/К1!$H$9*SQRT(((E$3^2/8*((2*ACOS(1-2*$A86))-SIN((2*ACOS(1-2*$A86)))))/(E$3*(2*ACOS(1-2*$A86))/2))*E$4)</f>
        <v>13.1873507313764</v>
      </c>
      <c r="F86" s="17" t="n">
        <f aca="false">1000*(F$3^2/8*((2*ACOS(1-2*$A86))-SIN((2*ACOS(1-2*$A86)))))*((F$3^2/8*((2*ACOS(1-2*$A86))-SIN((2*ACOS(1-2*$A86)))))/(F$3*(2*ACOS(1-2*$A86))/2))^(2.5*SQRT(К1!$H$9)-0.13-0.75*SQRT(((F$3^2/8*((2*ACOS(1-2*$A86))-SIN((2*ACOS(1-2*$A86)))))/(F$3*(2*ACOS(1-2*$A86))/2)))*(SQRT(К1!$H$9)-0.1))/К1!$H$9*SQRT(((F$3^2/8*((2*ACOS(1-2*$A86))-SIN((2*ACOS(1-2*$A86)))))/(F$3*(2*ACOS(1-2*$A86))/2))*F$4)</f>
        <v>13.1873507313764</v>
      </c>
    </row>
    <row r="87" customFormat="false" ht="15" hidden="false" customHeight="false" outlineLevel="0" collapsed="false">
      <c r="A87" s="16" t="n">
        <v>0.86</v>
      </c>
      <c r="B87" s="17" t="n">
        <f aca="false">1000*(B$3^2/8*((2*ACOS(1-2*$A87))-SIN((2*ACOS(1-2*$A87)))))*((B$3^2/8*((2*ACOS(1-2*$A87))-SIN((2*ACOS(1-2*$A87)))))/(B$3*(2*ACOS(1-2*$A87))/2))^(2.5*SQRT(К1!$H$9)-0.13-0.75*SQRT(((B$3^2/8*((2*ACOS(1-2*$A87))-SIN((2*ACOS(1-2*$A87)))))/(B$3*(2*ACOS(1-2*$A87))/2)))*(SQRT(К1!$H$9)-0.1))/К1!$H$9*SQRT(((B$3^2/8*((2*ACOS(1-2*$A87))-SIN((2*ACOS(1-2*$A87)))))/(B$3*(2*ACOS(1-2*$A87))/2))*B$4)</f>
        <v>7.12927452090229</v>
      </c>
      <c r="C87" s="17" t="n">
        <f aca="false">1000*(C$3^2/8*((2*ACOS(1-2*$A87))-SIN((2*ACOS(1-2*$A87)))))*((C$3^2/8*((2*ACOS(1-2*$A87))-SIN((2*ACOS(1-2*$A87)))))/(C$3*(2*ACOS(1-2*$A87))/2))^(2.5*SQRT(К1!$H$9)-0.13-0.75*SQRT(((C$3^2/8*((2*ACOS(1-2*$A87))-SIN((2*ACOS(1-2*$A87)))))/(C$3*(2*ACOS(1-2*$A87))/2)))*(SQRT(К1!$H$9)-0.1))/К1!$H$9*SQRT(((C$3^2/8*((2*ACOS(1-2*$A87))-SIN((2*ACOS(1-2*$A87)))))/(C$3*(2*ACOS(1-2*$A87))/2))*C$4)</f>
        <v>7.12927452090229</v>
      </c>
      <c r="D87" s="17" t="n">
        <f aca="false">1000*(D$3^2/8*((2*ACOS(1-2*$A87))-SIN((2*ACOS(1-2*$A87)))))*((D$3^2/8*((2*ACOS(1-2*$A87))-SIN((2*ACOS(1-2*$A87)))))/(D$3*(2*ACOS(1-2*$A87))/2))^(2.5*SQRT(К1!$H$9)-0.13-0.75*SQRT(((D$3^2/8*((2*ACOS(1-2*$A87))-SIN((2*ACOS(1-2*$A87)))))/(D$3*(2*ACOS(1-2*$A87))/2)))*(SQRT(К1!$H$9)-0.1))/К1!$H$9*SQRT(((D$3^2/8*((2*ACOS(1-2*$A87))-SIN((2*ACOS(1-2*$A87)))))/(D$3*(2*ACOS(1-2*$A87))/2))*D$4)</f>
        <v>13.2984399993257</v>
      </c>
      <c r="E87" s="17" t="n">
        <f aca="false">1000*(E$3^2/8*((2*ACOS(1-2*$A87))-SIN((2*ACOS(1-2*$A87)))))*((E$3^2/8*((2*ACOS(1-2*$A87))-SIN((2*ACOS(1-2*$A87)))))/(E$3*(2*ACOS(1-2*$A87))/2))^(2.5*SQRT(К1!$H$9)-0.13-0.75*SQRT(((E$3^2/8*((2*ACOS(1-2*$A87))-SIN((2*ACOS(1-2*$A87)))))/(E$3*(2*ACOS(1-2*$A87))/2)))*(SQRT(К1!$H$9)-0.1))/К1!$H$9*SQRT(((E$3^2/8*((2*ACOS(1-2*$A87))-SIN((2*ACOS(1-2*$A87)))))/(E$3*(2*ACOS(1-2*$A87))/2))*E$4)</f>
        <v>13.2984399993257</v>
      </c>
      <c r="F87" s="17" t="n">
        <f aca="false">1000*(F$3^2/8*((2*ACOS(1-2*$A87))-SIN((2*ACOS(1-2*$A87)))))*((F$3^2/8*((2*ACOS(1-2*$A87))-SIN((2*ACOS(1-2*$A87)))))/(F$3*(2*ACOS(1-2*$A87))/2))^(2.5*SQRT(К1!$H$9)-0.13-0.75*SQRT(((F$3^2/8*((2*ACOS(1-2*$A87))-SIN((2*ACOS(1-2*$A87)))))/(F$3*(2*ACOS(1-2*$A87))/2)))*(SQRT(К1!$H$9)-0.1))/К1!$H$9*SQRT(((F$3^2/8*((2*ACOS(1-2*$A87))-SIN((2*ACOS(1-2*$A87)))))/(F$3*(2*ACOS(1-2*$A87))/2))*F$4)</f>
        <v>13.2984399993257</v>
      </c>
    </row>
    <row r="88" customFormat="false" ht="15" hidden="false" customHeight="false" outlineLevel="0" collapsed="false">
      <c r="A88" s="16" t="n">
        <v>0.87</v>
      </c>
      <c r="B88" s="17" t="n">
        <f aca="false">1000*(B$3^2/8*((2*ACOS(1-2*$A88))-SIN((2*ACOS(1-2*$A88)))))*((B$3^2/8*((2*ACOS(1-2*$A88))-SIN((2*ACOS(1-2*$A88)))))/(B$3*(2*ACOS(1-2*$A88))/2))^(2.5*SQRT(К1!$H$9)-0.13-0.75*SQRT(((B$3^2/8*((2*ACOS(1-2*$A88))-SIN((2*ACOS(1-2*$A88)))))/(B$3*(2*ACOS(1-2*$A88))/2)))*(SQRT(К1!$H$9)-0.1))/К1!$H$9*SQRT(((B$3^2/8*((2*ACOS(1-2*$A88))-SIN((2*ACOS(1-2*$A88)))))/(B$3*(2*ACOS(1-2*$A88))/2))*B$4)</f>
        <v>7.18371142500951</v>
      </c>
      <c r="C88" s="17" t="n">
        <f aca="false">1000*(C$3^2/8*((2*ACOS(1-2*$A88))-SIN((2*ACOS(1-2*$A88)))))*((C$3^2/8*((2*ACOS(1-2*$A88))-SIN((2*ACOS(1-2*$A88)))))/(C$3*(2*ACOS(1-2*$A88))/2))^(2.5*SQRT(К1!$H$9)-0.13-0.75*SQRT(((C$3^2/8*((2*ACOS(1-2*$A88))-SIN((2*ACOS(1-2*$A88)))))/(C$3*(2*ACOS(1-2*$A88))/2)))*(SQRT(К1!$H$9)-0.1))/К1!$H$9*SQRT(((C$3^2/8*((2*ACOS(1-2*$A88))-SIN((2*ACOS(1-2*$A88)))))/(C$3*(2*ACOS(1-2*$A88))/2))*C$4)</f>
        <v>7.18371142500951</v>
      </c>
      <c r="D88" s="17" t="n">
        <f aca="false">1000*(D$3^2/8*((2*ACOS(1-2*$A88))-SIN((2*ACOS(1-2*$A88)))))*((D$3^2/8*((2*ACOS(1-2*$A88))-SIN((2*ACOS(1-2*$A88)))))/(D$3*(2*ACOS(1-2*$A88))/2))^(2.5*SQRT(К1!$H$9)-0.13-0.75*SQRT(((D$3^2/8*((2*ACOS(1-2*$A88))-SIN((2*ACOS(1-2*$A88)))))/(D$3*(2*ACOS(1-2*$A88))/2)))*(SQRT(К1!$H$9)-0.1))/К1!$H$9*SQRT(((D$3^2/8*((2*ACOS(1-2*$A88))-SIN((2*ACOS(1-2*$A88)))))/(D$3*(2*ACOS(1-2*$A88))/2))*D$4)</f>
        <v>13.3999898298037</v>
      </c>
      <c r="E88" s="17" t="n">
        <f aca="false">1000*(E$3^2/8*((2*ACOS(1-2*$A88))-SIN((2*ACOS(1-2*$A88)))))*((E$3^2/8*((2*ACOS(1-2*$A88))-SIN((2*ACOS(1-2*$A88)))))/(E$3*(2*ACOS(1-2*$A88))/2))^(2.5*SQRT(К1!$H$9)-0.13-0.75*SQRT(((E$3^2/8*((2*ACOS(1-2*$A88))-SIN((2*ACOS(1-2*$A88)))))/(E$3*(2*ACOS(1-2*$A88))/2)))*(SQRT(К1!$H$9)-0.1))/К1!$H$9*SQRT(((E$3^2/8*((2*ACOS(1-2*$A88))-SIN((2*ACOS(1-2*$A88)))))/(E$3*(2*ACOS(1-2*$A88))/2))*E$4)</f>
        <v>13.3999898298037</v>
      </c>
      <c r="F88" s="17" t="n">
        <f aca="false">1000*(F$3^2/8*((2*ACOS(1-2*$A88))-SIN((2*ACOS(1-2*$A88)))))*((F$3^2/8*((2*ACOS(1-2*$A88))-SIN((2*ACOS(1-2*$A88)))))/(F$3*(2*ACOS(1-2*$A88))/2))^(2.5*SQRT(К1!$H$9)-0.13-0.75*SQRT(((F$3^2/8*((2*ACOS(1-2*$A88))-SIN((2*ACOS(1-2*$A88)))))/(F$3*(2*ACOS(1-2*$A88))/2)))*(SQRT(К1!$H$9)-0.1))/К1!$H$9*SQRT(((F$3^2/8*((2*ACOS(1-2*$A88))-SIN((2*ACOS(1-2*$A88)))))/(F$3*(2*ACOS(1-2*$A88))/2))*F$4)</f>
        <v>13.3999898298037</v>
      </c>
    </row>
    <row r="89" customFormat="false" ht="15" hidden="false" customHeight="false" outlineLevel="0" collapsed="false">
      <c r="A89" s="16" t="n">
        <v>0.88</v>
      </c>
      <c r="B89" s="17" t="n">
        <f aca="false">1000*(B$3^2/8*((2*ACOS(1-2*$A89))-SIN((2*ACOS(1-2*$A89)))))*((B$3^2/8*((2*ACOS(1-2*$A89))-SIN((2*ACOS(1-2*$A89)))))/(B$3*(2*ACOS(1-2*$A89))/2))^(2.5*SQRT(К1!$H$9)-0.13-0.75*SQRT(((B$3^2/8*((2*ACOS(1-2*$A89))-SIN((2*ACOS(1-2*$A89)))))/(B$3*(2*ACOS(1-2*$A89))/2)))*(SQRT(К1!$H$9)-0.1))/К1!$H$9*SQRT(((B$3^2/8*((2*ACOS(1-2*$A89))-SIN((2*ACOS(1-2*$A89)))))/(B$3*(2*ACOS(1-2*$A89))/2))*B$4)</f>
        <v>7.23264620372548</v>
      </c>
      <c r="C89" s="17" t="n">
        <f aca="false">1000*(C$3^2/8*((2*ACOS(1-2*$A89))-SIN((2*ACOS(1-2*$A89)))))*((C$3^2/8*((2*ACOS(1-2*$A89))-SIN((2*ACOS(1-2*$A89)))))/(C$3*(2*ACOS(1-2*$A89))/2))^(2.5*SQRT(К1!$H$9)-0.13-0.75*SQRT(((C$3^2/8*((2*ACOS(1-2*$A89))-SIN((2*ACOS(1-2*$A89)))))/(C$3*(2*ACOS(1-2*$A89))/2)))*(SQRT(К1!$H$9)-0.1))/К1!$H$9*SQRT(((C$3^2/8*((2*ACOS(1-2*$A89))-SIN((2*ACOS(1-2*$A89)))))/(C$3*(2*ACOS(1-2*$A89))/2))*C$4)</f>
        <v>7.23264620372548</v>
      </c>
      <c r="D89" s="17" t="n">
        <f aca="false">1000*(D$3^2/8*((2*ACOS(1-2*$A89))-SIN((2*ACOS(1-2*$A89)))))*((D$3^2/8*((2*ACOS(1-2*$A89))-SIN((2*ACOS(1-2*$A89)))))/(D$3*(2*ACOS(1-2*$A89))/2))^(2.5*SQRT(К1!$H$9)-0.13-0.75*SQRT(((D$3^2/8*((2*ACOS(1-2*$A89))-SIN((2*ACOS(1-2*$A89)))))/(D$3*(2*ACOS(1-2*$A89))/2)))*(SQRT(К1!$H$9)-0.1))/К1!$H$9*SQRT(((D$3^2/8*((2*ACOS(1-2*$A89))-SIN((2*ACOS(1-2*$A89)))))/(D$3*(2*ACOS(1-2*$A89))/2))*D$4)</f>
        <v>13.4912780835685</v>
      </c>
      <c r="E89" s="17" t="n">
        <f aca="false">1000*(E$3^2/8*((2*ACOS(1-2*$A89))-SIN((2*ACOS(1-2*$A89)))))*((E$3^2/8*((2*ACOS(1-2*$A89))-SIN((2*ACOS(1-2*$A89)))))/(E$3*(2*ACOS(1-2*$A89))/2))^(2.5*SQRT(К1!$H$9)-0.13-0.75*SQRT(((E$3^2/8*((2*ACOS(1-2*$A89))-SIN((2*ACOS(1-2*$A89)))))/(E$3*(2*ACOS(1-2*$A89))/2)))*(SQRT(К1!$H$9)-0.1))/К1!$H$9*SQRT(((E$3^2/8*((2*ACOS(1-2*$A89))-SIN((2*ACOS(1-2*$A89)))))/(E$3*(2*ACOS(1-2*$A89))/2))*E$4)</f>
        <v>13.4912780835685</v>
      </c>
      <c r="F89" s="17" t="n">
        <f aca="false">1000*(F$3^2/8*((2*ACOS(1-2*$A89))-SIN((2*ACOS(1-2*$A89)))))*((F$3^2/8*((2*ACOS(1-2*$A89))-SIN((2*ACOS(1-2*$A89)))))/(F$3*(2*ACOS(1-2*$A89))/2))^(2.5*SQRT(К1!$H$9)-0.13-0.75*SQRT(((F$3^2/8*((2*ACOS(1-2*$A89))-SIN((2*ACOS(1-2*$A89)))))/(F$3*(2*ACOS(1-2*$A89))/2)))*(SQRT(К1!$H$9)-0.1))/К1!$H$9*SQRT(((F$3^2/8*((2*ACOS(1-2*$A89))-SIN((2*ACOS(1-2*$A89)))))/(F$3*(2*ACOS(1-2*$A89))/2))*F$4)</f>
        <v>13.4912780835685</v>
      </c>
    </row>
    <row r="90" customFormat="false" ht="15" hidden="false" customHeight="false" outlineLevel="0" collapsed="false">
      <c r="A90" s="16" t="n">
        <v>0.89</v>
      </c>
      <c r="B90" s="17" t="n">
        <f aca="false">1000*(B$3^2/8*((2*ACOS(1-2*$A90))-SIN((2*ACOS(1-2*$A90)))))*((B$3^2/8*((2*ACOS(1-2*$A90))-SIN((2*ACOS(1-2*$A90)))))/(B$3*(2*ACOS(1-2*$A90))/2))^(2.5*SQRT(К1!$H$9)-0.13-0.75*SQRT(((B$3^2/8*((2*ACOS(1-2*$A90))-SIN((2*ACOS(1-2*$A90)))))/(B$3*(2*ACOS(1-2*$A90))/2)))*(SQRT(К1!$H$9)-0.1))/К1!$H$9*SQRT(((B$3^2/8*((2*ACOS(1-2*$A90))-SIN((2*ACOS(1-2*$A90)))))/(B$3*(2*ACOS(1-2*$A90))/2))*B$4)</f>
        <v>7.27563935700807</v>
      </c>
      <c r="C90" s="17" t="n">
        <f aca="false">1000*(C$3^2/8*((2*ACOS(1-2*$A90))-SIN((2*ACOS(1-2*$A90)))))*((C$3^2/8*((2*ACOS(1-2*$A90))-SIN((2*ACOS(1-2*$A90)))))/(C$3*(2*ACOS(1-2*$A90))/2))^(2.5*SQRT(К1!$H$9)-0.13-0.75*SQRT(((C$3^2/8*((2*ACOS(1-2*$A90))-SIN((2*ACOS(1-2*$A90)))))/(C$3*(2*ACOS(1-2*$A90))/2)))*(SQRT(К1!$H$9)-0.1))/К1!$H$9*SQRT(((C$3^2/8*((2*ACOS(1-2*$A90))-SIN((2*ACOS(1-2*$A90)))))/(C$3*(2*ACOS(1-2*$A90))/2))*C$4)</f>
        <v>7.27563935700807</v>
      </c>
      <c r="D90" s="17" t="n">
        <f aca="false">1000*(D$3^2/8*((2*ACOS(1-2*$A90))-SIN((2*ACOS(1-2*$A90)))))*((D$3^2/8*((2*ACOS(1-2*$A90))-SIN((2*ACOS(1-2*$A90)))))/(D$3*(2*ACOS(1-2*$A90))/2))^(2.5*SQRT(К1!$H$9)-0.13-0.75*SQRT(((D$3^2/8*((2*ACOS(1-2*$A90))-SIN((2*ACOS(1-2*$A90)))))/(D$3*(2*ACOS(1-2*$A90))/2)))*(SQRT(К1!$H$9)-0.1))/К1!$H$9*SQRT(((D$3^2/8*((2*ACOS(1-2*$A90))-SIN((2*ACOS(1-2*$A90)))))/(D$3*(2*ACOS(1-2*$A90))/2))*D$4)</f>
        <v>13.571485061188</v>
      </c>
      <c r="E90" s="17" t="n">
        <f aca="false">1000*(E$3^2/8*((2*ACOS(1-2*$A90))-SIN((2*ACOS(1-2*$A90)))))*((E$3^2/8*((2*ACOS(1-2*$A90))-SIN((2*ACOS(1-2*$A90)))))/(E$3*(2*ACOS(1-2*$A90))/2))^(2.5*SQRT(К1!$H$9)-0.13-0.75*SQRT(((E$3^2/8*((2*ACOS(1-2*$A90))-SIN((2*ACOS(1-2*$A90)))))/(E$3*(2*ACOS(1-2*$A90))/2)))*(SQRT(К1!$H$9)-0.1))/К1!$H$9*SQRT(((E$3^2/8*((2*ACOS(1-2*$A90))-SIN((2*ACOS(1-2*$A90)))))/(E$3*(2*ACOS(1-2*$A90))/2))*E$4)</f>
        <v>13.571485061188</v>
      </c>
      <c r="F90" s="17" t="n">
        <f aca="false">1000*(F$3^2/8*((2*ACOS(1-2*$A90))-SIN((2*ACOS(1-2*$A90)))))*((F$3^2/8*((2*ACOS(1-2*$A90))-SIN((2*ACOS(1-2*$A90)))))/(F$3*(2*ACOS(1-2*$A90))/2))^(2.5*SQRT(К1!$H$9)-0.13-0.75*SQRT(((F$3^2/8*((2*ACOS(1-2*$A90))-SIN((2*ACOS(1-2*$A90)))))/(F$3*(2*ACOS(1-2*$A90))/2)))*(SQRT(К1!$H$9)-0.1))/К1!$H$9*SQRT(((F$3^2/8*((2*ACOS(1-2*$A90))-SIN((2*ACOS(1-2*$A90)))))/(F$3*(2*ACOS(1-2*$A90))/2))*F$4)</f>
        <v>13.571485061188</v>
      </c>
    </row>
    <row r="91" customFormat="false" ht="15" hidden="false" customHeight="false" outlineLevel="0" collapsed="false">
      <c r="A91" s="16" t="n">
        <v>0.9</v>
      </c>
      <c r="B91" s="17" t="n">
        <f aca="false">1000*(B$3^2/8*((2*ACOS(1-2*$A91))-SIN((2*ACOS(1-2*$A91)))))*((B$3^2/8*((2*ACOS(1-2*$A91))-SIN((2*ACOS(1-2*$A91)))))/(B$3*(2*ACOS(1-2*$A91))/2))^(2.5*SQRT(К1!$H$9)-0.13-0.75*SQRT(((B$3^2/8*((2*ACOS(1-2*$A91))-SIN((2*ACOS(1-2*$A91)))))/(B$3*(2*ACOS(1-2*$A91))/2)))*(SQRT(К1!$H$9)-0.1))/К1!$H$9*SQRT(((B$3^2/8*((2*ACOS(1-2*$A91))-SIN((2*ACOS(1-2*$A91)))))/(B$3*(2*ACOS(1-2*$A91))/2))*B$4)</f>
        <v>7.31218383029436</v>
      </c>
      <c r="C91" s="17" t="n">
        <f aca="false">1000*(C$3^2/8*((2*ACOS(1-2*$A91))-SIN((2*ACOS(1-2*$A91)))))*((C$3^2/8*((2*ACOS(1-2*$A91))-SIN((2*ACOS(1-2*$A91)))))/(C$3*(2*ACOS(1-2*$A91))/2))^(2.5*SQRT(К1!$H$9)-0.13-0.75*SQRT(((C$3^2/8*((2*ACOS(1-2*$A91))-SIN((2*ACOS(1-2*$A91)))))/(C$3*(2*ACOS(1-2*$A91))/2)))*(SQRT(К1!$H$9)-0.1))/К1!$H$9*SQRT(((C$3^2/8*((2*ACOS(1-2*$A91))-SIN((2*ACOS(1-2*$A91)))))/(C$3*(2*ACOS(1-2*$A91))/2))*C$4)</f>
        <v>7.31218383029436</v>
      </c>
      <c r="D91" s="17" t="n">
        <f aca="false">1000*(D$3^2/8*((2*ACOS(1-2*$A91))-SIN((2*ACOS(1-2*$A91)))))*((D$3^2/8*((2*ACOS(1-2*$A91))-SIN((2*ACOS(1-2*$A91)))))/(D$3*(2*ACOS(1-2*$A91))/2))^(2.5*SQRT(К1!$H$9)-0.13-0.75*SQRT(((D$3^2/8*((2*ACOS(1-2*$A91))-SIN((2*ACOS(1-2*$A91)))))/(D$3*(2*ACOS(1-2*$A91))/2)))*(SQRT(К1!$H$9)-0.1))/К1!$H$9*SQRT(((D$3^2/8*((2*ACOS(1-2*$A91))-SIN((2*ACOS(1-2*$A91)))))/(D$3*(2*ACOS(1-2*$A91))/2))*D$4)</f>
        <v>13.6396650629279</v>
      </c>
      <c r="E91" s="17" t="n">
        <f aca="false">1000*(E$3^2/8*((2*ACOS(1-2*$A91))-SIN((2*ACOS(1-2*$A91)))))*((E$3^2/8*((2*ACOS(1-2*$A91))-SIN((2*ACOS(1-2*$A91)))))/(E$3*(2*ACOS(1-2*$A91))/2))^(2.5*SQRT(К1!$H$9)-0.13-0.75*SQRT(((E$3^2/8*((2*ACOS(1-2*$A91))-SIN((2*ACOS(1-2*$A91)))))/(E$3*(2*ACOS(1-2*$A91))/2)))*(SQRT(К1!$H$9)-0.1))/К1!$H$9*SQRT(((E$3^2/8*((2*ACOS(1-2*$A91))-SIN((2*ACOS(1-2*$A91)))))/(E$3*(2*ACOS(1-2*$A91))/2))*E$4)</f>
        <v>13.6396650629279</v>
      </c>
      <c r="F91" s="17" t="n">
        <f aca="false">1000*(F$3^2/8*((2*ACOS(1-2*$A91))-SIN((2*ACOS(1-2*$A91)))))*((F$3^2/8*((2*ACOS(1-2*$A91))-SIN((2*ACOS(1-2*$A91)))))/(F$3*(2*ACOS(1-2*$A91))/2))^(2.5*SQRT(К1!$H$9)-0.13-0.75*SQRT(((F$3^2/8*((2*ACOS(1-2*$A91))-SIN((2*ACOS(1-2*$A91)))))/(F$3*(2*ACOS(1-2*$A91))/2)))*(SQRT(К1!$H$9)-0.1))/К1!$H$9*SQRT(((F$3^2/8*((2*ACOS(1-2*$A91))-SIN((2*ACOS(1-2*$A91)))))/(F$3*(2*ACOS(1-2*$A91))/2))*F$4)</f>
        <v>13.6396650629279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2026-10-05T20:26:19Z</dcterms:created>
  <dc:creator>openpyxl</dc:creator>
  <dc:description/>
  <dc:language>en-US</dc:language>
  <cp:lastModifiedBy/>
  <dcterms:modified xsi:type="dcterms:W3CDTF">2026-10-05T20:26:19Z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