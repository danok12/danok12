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Kursovoy\.claude\worktrees\earthwork-drawings-autocad-d57f76\kursovaya-tsp\"/>
    </mc:Choice>
  </mc:AlternateContent>
  <xr:revisionPtr revIDLastSave="0" documentId="13_ncr:1_{A5302476-43E1-4CF8-87D6-1BD258E6B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одержание" sheetId="1" r:id="rId1"/>
    <sheet name="Исходные данные" sheetId="2" r:id="rId2"/>
    <sheet name="ЛНР (черн.)" sheetId="3" r:id="rId3"/>
    <sheet name="Табл. 1 объёмы (черн.)" sheetId="4" r:id="rId4"/>
    <sheet name="Котлован (черн.)" sheetId="5" r:id="rId5"/>
    <sheet name="Табл. 2 баланс (черн.)" sheetId="6" r:id="rId6"/>
    <sheet name="Отметки (оконч.)" sheetId="7" r:id="rId7"/>
    <sheet name="ЛНР (оконч.)" sheetId="8" r:id="rId8"/>
    <sheet name="Табл. 1 объёмы (оконч.)" sheetId="9" r:id="rId9"/>
    <sheet name="Котлован (оконч.)" sheetId="10" r:id="rId10"/>
    <sheet name="Табл. 2 баланс (оконч.)" sheetId="11" r:id="rId11"/>
    <sheet name="Табл. 3 котлован" sheetId="12" r:id="rId12"/>
    <sheet name="Табл. 4 распределение" sheetId="13" r:id="rId13"/>
    <sheet name="Табл. 5 скрепер" sheetId="14" r:id="rId14"/>
    <sheet name="Табл. 6 самосвал" sheetId="15" r:id="rId15"/>
    <sheet name="2.3 Грунт и нормы ЕНиР" sheetId="16" r:id="rId16"/>
    <sheet name="Табл. 7 варианты" sheetId="17" r:id="rId17"/>
    <sheet name="2.3.2 Экскаватор, самосвалы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1" i="18" l="1"/>
  <c r="M51" i="18"/>
  <c r="N50" i="18"/>
  <c r="M50" i="18"/>
  <c r="N49" i="18"/>
  <c r="M49" i="18"/>
  <c r="N48" i="18"/>
  <c r="M48" i="18"/>
  <c r="N47" i="18"/>
  <c r="M47" i="18"/>
  <c r="N46" i="18"/>
  <c r="M46" i="18"/>
  <c r="N45" i="18"/>
  <c r="M45" i="18"/>
  <c r="N44" i="18"/>
  <c r="M44" i="18"/>
  <c r="N43" i="18"/>
  <c r="M43" i="18"/>
  <c r="N42" i="18"/>
  <c r="M42" i="18"/>
  <c r="N41" i="18"/>
  <c r="M41" i="18"/>
  <c r="N40" i="18"/>
  <c r="M40" i="18"/>
  <c r="N39" i="18"/>
  <c r="M39" i="18"/>
  <c r="N38" i="18"/>
  <c r="M38" i="18"/>
  <c r="N37" i="18"/>
  <c r="M37" i="18"/>
  <c r="N36" i="18"/>
  <c r="M36" i="18"/>
  <c r="N35" i="18"/>
  <c r="M35" i="18"/>
  <c r="N34" i="18"/>
  <c r="M34" i="18"/>
  <c r="C24" i="18"/>
  <c r="C23" i="18"/>
  <c r="F10" i="18"/>
  <c r="F9" i="18"/>
  <c r="F8" i="18"/>
  <c r="C14" i="18" s="1"/>
  <c r="C5" i="18"/>
  <c r="G34" i="17"/>
  <c r="G36" i="17" s="1"/>
  <c r="G30" i="17"/>
  <c r="G28" i="17"/>
  <c r="C28" i="17"/>
  <c r="C30" i="17" s="1"/>
  <c r="G22" i="17"/>
  <c r="C22" i="17"/>
  <c r="C24" i="17" s="1"/>
  <c r="C5" i="17"/>
  <c r="C6" i="17" s="1"/>
  <c r="C14" i="15"/>
  <c r="C8" i="15"/>
  <c r="B8" i="15"/>
  <c r="C12" i="15" s="1"/>
  <c r="C7" i="15"/>
  <c r="C13" i="15" s="1"/>
  <c r="B7" i="15"/>
  <c r="C11" i="15" s="1"/>
  <c r="C15" i="15" s="1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W7" i="14"/>
  <c r="V7" i="14"/>
  <c r="U7" i="14"/>
  <c r="T7" i="14"/>
  <c r="S7" i="14"/>
  <c r="R7" i="14"/>
  <c r="Q7" i="14"/>
  <c r="P7" i="14"/>
  <c r="O7" i="14"/>
  <c r="N7" i="14"/>
  <c r="M7" i="14"/>
  <c r="C13" i="14" s="1"/>
  <c r="L7" i="14"/>
  <c r="K7" i="14"/>
  <c r="J7" i="14"/>
  <c r="I7" i="14"/>
  <c r="H7" i="14"/>
  <c r="G7" i="14"/>
  <c r="F7" i="14"/>
  <c r="E7" i="14"/>
  <c r="D7" i="14"/>
  <c r="C7" i="14"/>
  <c r="B7" i="14"/>
  <c r="L20" i="13"/>
  <c r="J20" i="13"/>
  <c r="E20" i="13"/>
  <c r="D20" i="13"/>
  <c r="N19" i="13"/>
  <c r="N20" i="13" s="1"/>
  <c r="M19" i="13"/>
  <c r="M20" i="13" s="1"/>
  <c r="L19" i="13"/>
  <c r="K19" i="13"/>
  <c r="K20" i="13" s="1"/>
  <c r="J19" i="13"/>
  <c r="I19" i="13"/>
  <c r="I20" i="13" s="1"/>
  <c r="H19" i="13"/>
  <c r="H20" i="13" s="1"/>
  <c r="G19" i="13"/>
  <c r="G20" i="13" s="1"/>
  <c r="F19" i="13"/>
  <c r="F20" i="13" s="1"/>
  <c r="E19" i="13"/>
  <c r="D19" i="13"/>
  <c r="C19" i="13"/>
  <c r="C20" i="13" s="1"/>
  <c r="B19" i="13"/>
  <c r="C7" i="17" s="1"/>
  <c r="O18" i="13"/>
  <c r="O17" i="13"/>
  <c r="O16" i="13"/>
  <c r="O15" i="13"/>
  <c r="O14" i="13"/>
  <c r="O13" i="13"/>
  <c r="O12" i="13"/>
  <c r="O11" i="13"/>
  <c r="O10" i="13"/>
  <c r="O9" i="13"/>
  <c r="O8" i="13"/>
  <c r="O7" i="13"/>
  <c r="E6" i="12"/>
  <c r="E10" i="12" s="1"/>
  <c r="D12" i="11"/>
  <c r="E6" i="11"/>
  <c r="C55" i="10"/>
  <c r="C33" i="10"/>
  <c r="C30" i="10"/>
  <c r="C24" i="10"/>
  <c r="C25" i="10" s="1"/>
  <c r="C26" i="10" s="1"/>
  <c r="C22" i="10"/>
  <c r="C21" i="10"/>
  <c r="F30" i="9"/>
  <c r="B17" i="9"/>
  <c r="B16" i="9"/>
  <c r="F15" i="9"/>
  <c r="F14" i="9"/>
  <c r="B11" i="9"/>
  <c r="F10" i="9"/>
  <c r="F9" i="9"/>
  <c r="F8" i="9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D12" i="6"/>
  <c r="E6" i="6"/>
  <c r="C55" i="5"/>
  <c r="C38" i="5"/>
  <c r="C33" i="5"/>
  <c r="C30" i="5"/>
  <c r="C24" i="5"/>
  <c r="C25" i="5" s="1"/>
  <c r="C22" i="5"/>
  <c r="C21" i="5"/>
  <c r="F30" i="4"/>
  <c r="B26" i="4"/>
  <c r="B25" i="4"/>
  <c r="G20" i="4"/>
  <c r="C20" i="4"/>
  <c r="G19" i="4"/>
  <c r="C19" i="4"/>
  <c r="G18" i="4"/>
  <c r="C18" i="4"/>
  <c r="C17" i="4"/>
  <c r="B17" i="4"/>
  <c r="D17" i="4" s="1"/>
  <c r="C16" i="4"/>
  <c r="D16" i="4" s="1"/>
  <c r="B16" i="4"/>
  <c r="G15" i="4"/>
  <c r="F15" i="4"/>
  <c r="H15" i="4" s="1"/>
  <c r="I15" i="4" s="1"/>
  <c r="G14" i="4"/>
  <c r="F14" i="4"/>
  <c r="G13" i="4"/>
  <c r="C13" i="4"/>
  <c r="G12" i="4"/>
  <c r="C12" i="4"/>
  <c r="C11" i="4"/>
  <c r="B11" i="4"/>
  <c r="H10" i="4"/>
  <c r="I10" i="4" s="1"/>
  <c r="G10" i="4"/>
  <c r="F10" i="4"/>
  <c r="G9" i="4"/>
  <c r="F9" i="4"/>
  <c r="H9" i="4" s="1"/>
  <c r="I9" i="4" s="1"/>
  <c r="G8" i="4"/>
  <c r="F8" i="4"/>
  <c r="G7" i="4"/>
  <c r="C7" i="4"/>
  <c r="G6" i="4"/>
  <c r="C6" i="4"/>
  <c r="F12" i="3"/>
  <c r="D12" i="3"/>
  <c r="G12" i="3" s="1"/>
  <c r="H12" i="3" s="1"/>
  <c r="F11" i="3"/>
  <c r="D11" i="3"/>
  <c r="G11" i="3" s="1"/>
  <c r="F10" i="3"/>
  <c r="D10" i="3"/>
  <c r="F9" i="3"/>
  <c r="D9" i="3"/>
  <c r="G9" i="3" s="1"/>
  <c r="H9" i="3" s="1"/>
  <c r="F8" i="3"/>
  <c r="D8" i="3"/>
  <c r="G8" i="3" s="1"/>
  <c r="F7" i="3"/>
  <c r="D7" i="3"/>
  <c r="G7" i="3" s="1"/>
  <c r="H7" i="3" s="1"/>
  <c r="F6" i="3"/>
  <c r="D6" i="3"/>
  <c r="G6" i="3" s="1"/>
  <c r="F5" i="3"/>
  <c r="D5" i="3"/>
  <c r="G5" i="3" s="1"/>
  <c r="I16" i="2"/>
  <c r="H16" i="2"/>
  <c r="G16" i="2"/>
  <c r="F16" i="2"/>
  <c r="E16" i="2"/>
  <c r="D16" i="2"/>
  <c r="I14" i="2"/>
  <c r="H14" i="2"/>
  <c r="G14" i="2"/>
  <c r="F14" i="2"/>
  <c r="E14" i="2"/>
  <c r="D14" i="2"/>
  <c r="I12" i="2"/>
  <c r="H12" i="2"/>
  <c r="G12" i="2"/>
  <c r="F12" i="2"/>
  <c r="E12" i="2"/>
  <c r="D12" i="2"/>
  <c r="I10" i="2"/>
  <c r="H10" i="2"/>
  <c r="G10" i="2"/>
  <c r="F10" i="2"/>
  <c r="E10" i="2"/>
  <c r="D10" i="2"/>
  <c r="C12" i="14" l="1"/>
  <c r="C15" i="18"/>
  <c r="C49" i="10"/>
  <c r="H8" i="4"/>
  <c r="I8" i="4" s="1"/>
  <c r="C31" i="5"/>
  <c r="C35" i="5" s="1"/>
  <c r="B79" i="5" s="1"/>
  <c r="D79" i="5" s="1"/>
  <c r="F79" i="5" s="1"/>
  <c r="C12" i="18"/>
  <c r="C11" i="14"/>
  <c r="C13" i="18"/>
  <c r="H51" i="18" s="1"/>
  <c r="G10" i="3"/>
  <c r="F18" i="4" s="1"/>
  <c r="D11" i="4"/>
  <c r="H5" i="3"/>
  <c r="D26" i="4" s="1"/>
  <c r="F26" i="4" s="1"/>
  <c r="D25" i="4"/>
  <c r="F25" i="4" s="1"/>
  <c r="H8" i="3"/>
  <c r="B13" i="4" s="1"/>
  <c r="F12" i="4"/>
  <c r="F6" i="4"/>
  <c r="H6" i="3"/>
  <c r="B7" i="4" s="1"/>
  <c r="H11" i="3"/>
  <c r="B20" i="4" s="1"/>
  <c r="H14" i="4"/>
  <c r="I14" i="4" s="1"/>
  <c r="C26" i="5"/>
  <c r="C49" i="5"/>
  <c r="G14" i="17"/>
  <c r="G39" i="17"/>
  <c r="C50" i="5"/>
  <c r="C65" i="5" s="1"/>
  <c r="G27" i="17"/>
  <c r="G29" i="17" s="1"/>
  <c r="C27" i="17"/>
  <c r="C29" i="17" s="1"/>
  <c r="G33" i="17"/>
  <c r="G35" i="17" s="1"/>
  <c r="C14" i="17"/>
  <c r="G24" i="17"/>
  <c r="C31" i="10"/>
  <c r="C35" i="10" s="1"/>
  <c r="C51" i="10"/>
  <c r="C62" i="10" s="1"/>
  <c r="C27" i="10"/>
  <c r="C14" i="14"/>
  <c r="C15" i="14" s="1"/>
  <c r="C4" i="17" s="1"/>
  <c r="C50" i="10"/>
  <c r="C65" i="10" s="1"/>
  <c r="H34" i="18"/>
  <c r="H42" i="18"/>
  <c r="H50" i="18"/>
  <c r="H41" i="18"/>
  <c r="H49" i="18"/>
  <c r="H40" i="18"/>
  <c r="H48" i="18"/>
  <c r="H39" i="18"/>
  <c r="H47" i="18"/>
  <c r="C21" i="17"/>
  <c r="C23" i="17" s="1"/>
  <c r="G21" i="17"/>
  <c r="G23" i="17" s="1"/>
  <c r="H37" i="18"/>
  <c r="H45" i="18"/>
  <c r="H36" i="18"/>
  <c r="H44" i="18"/>
  <c r="C25" i="18"/>
  <c r="C26" i="18" s="1"/>
  <c r="H35" i="18"/>
  <c r="H43" i="18"/>
  <c r="F19" i="4" l="1"/>
  <c r="H19" i="4" s="1"/>
  <c r="I19" i="4" s="1"/>
  <c r="H46" i="18"/>
  <c r="B78" i="5"/>
  <c r="D78" i="5" s="1"/>
  <c r="F78" i="5" s="1"/>
  <c r="H38" i="18"/>
  <c r="H10" i="3"/>
  <c r="G15" i="17"/>
  <c r="C15" i="17"/>
  <c r="C27" i="5"/>
  <c r="C51" i="5"/>
  <c r="C62" i="5" s="1"/>
  <c r="B79" i="10"/>
  <c r="D79" i="10" s="1"/>
  <c r="F79" i="10" s="1"/>
  <c r="B78" i="10"/>
  <c r="D78" i="10" s="1"/>
  <c r="F78" i="10" s="1"/>
  <c r="D7" i="4"/>
  <c r="F7" i="4"/>
  <c r="H7" i="4" s="1"/>
  <c r="I7" i="4" s="1"/>
  <c r="H6" i="4"/>
  <c r="B6" i="4"/>
  <c r="F20" i="4"/>
  <c r="H20" i="4" s="1"/>
  <c r="I20" i="4" s="1"/>
  <c r="D20" i="4"/>
  <c r="B12" i="4"/>
  <c r="D12" i="4" s="1"/>
  <c r="H12" i="4"/>
  <c r="I12" i="4" s="1"/>
  <c r="F13" i="4"/>
  <c r="H13" i="4" s="1"/>
  <c r="I13" i="4" s="1"/>
  <c r="D13" i="4"/>
  <c r="G51" i="18"/>
  <c r="I51" i="18" s="1"/>
  <c r="G43" i="18"/>
  <c r="I43" i="18" s="1"/>
  <c r="G35" i="18"/>
  <c r="I35" i="18" s="1"/>
  <c r="G44" i="18"/>
  <c r="I44" i="18" s="1"/>
  <c r="G36" i="18"/>
  <c r="I36" i="18" s="1"/>
  <c r="G45" i="18"/>
  <c r="I45" i="18" s="1"/>
  <c r="G37" i="18"/>
  <c r="I37" i="18" s="1"/>
  <c r="G46" i="18"/>
  <c r="I46" i="18" s="1"/>
  <c r="G38" i="18"/>
  <c r="I38" i="18" s="1"/>
  <c r="G47" i="18"/>
  <c r="I47" i="18" s="1"/>
  <c r="G39" i="18"/>
  <c r="I39" i="18" s="1"/>
  <c r="G48" i="18"/>
  <c r="I48" i="18" s="1"/>
  <c r="G40" i="18"/>
  <c r="I40" i="18" s="1"/>
  <c r="G49" i="18"/>
  <c r="I49" i="18" s="1"/>
  <c r="G41" i="18"/>
  <c r="I41" i="18" s="1"/>
  <c r="G50" i="18"/>
  <c r="I50" i="18" s="1"/>
  <c r="G42" i="18"/>
  <c r="I42" i="18" s="1"/>
  <c r="G34" i="18"/>
  <c r="I34" i="18" s="1"/>
  <c r="B19" i="4"/>
  <c r="D19" i="4" s="1"/>
  <c r="B18" i="4"/>
  <c r="D18" i="4" s="1"/>
  <c r="H18" i="4"/>
  <c r="I18" i="4" s="1"/>
  <c r="C44" i="10"/>
  <c r="C43" i="10"/>
  <c r="C34" i="10"/>
  <c r="C28" i="10"/>
  <c r="K47" i="18" l="1"/>
  <c r="L47" i="18" s="1"/>
  <c r="O47" i="18" s="1"/>
  <c r="J47" i="18"/>
  <c r="T47" i="18" s="1"/>
  <c r="R47" i="18"/>
  <c r="K38" i="18"/>
  <c r="L38" i="18" s="1"/>
  <c r="O38" i="18" s="1"/>
  <c r="J38" i="18"/>
  <c r="R38" i="18"/>
  <c r="K46" i="18"/>
  <c r="L46" i="18" s="1"/>
  <c r="O46" i="18" s="1"/>
  <c r="J46" i="18"/>
  <c r="R46" i="18"/>
  <c r="K37" i="18"/>
  <c r="L37" i="18" s="1"/>
  <c r="O37" i="18" s="1"/>
  <c r="J37" i="18"/>
  <c r="R37" i="18"/>
  <c r="K45" i="18"/>
  <c r="L45" i="18" s="1"/>
  <c r="O45" i="18" s="1"/>
  <c r="J45" i="18"/>
  <c r="T45" i="18" s="1"/>
  <c r="R45" i="18"/>
  <c r="F21" i="4"/>
  <c r="J36" i="18"/>
  <c r="T36" i="18" s="1"/>
  <c r="K36" i="18"/>
  <c r="L36" i="18" s="1"/>
  <c r="O36" i="18" s="1"/>
  <c r="R36" i="18"/>
  <c r="D6" i="4"/>
  <c r="D21" i="4" s="1"/>
  <c r="F31" i="4" s="1"/>
  <c r="C5" i="6" s="1"/>
  <c r="B21" i="4"/>
  <c r="J44" i="18"/>
  <c r="K44" i="18"/>
  <c r="L44" i="18" s="1"/>
  <c r="O44" i="18" s="1"/>
  <c r="R44" i="18"/>
  <c r="H21" i="4"/>
  <c r="F32" i="4" s="1"/>
  <c r="I6" i="4"/>
  <c r="I21" i="4" s="1"/>
  <c r="K35" i="18"/>
  <c r="L35" i="18" s="1"/>
  <c r="O35" i="18" s="1"/>
  <c r="J35" i="18"/>
  <c r="T35" i="18" s="1"/>
  <c r="R35" i="18"/>
  <c r="K43" i="18"/>
  <c r="L43" i="18" s="1"/>
  <c r="O43" i="18" s="1"/>
  <c r="J43" i="18"/>
  <c r="T43" i="18" s="1"/>
  <c r="R43" i="18"/>
  <c r="K51" i="18"/>
  <c r="L51" i="18" s="1"/>
  <c r="O51" i="18" s="1"/>
  <c r="J51" i="18"/>
  <c r="T51" i="18" s="1"/>
  <c r="R51" i="18"/>
  <c r="C75" i="10"/>
  <c r="E75" i="10" s="1"/>
  <c r="G75" i="10" s="1"/>
  <c r="C76" i="10"/>
  <c r="E76" i="10" s="1"/>
  <c r="G76" i="10" s="1"/>
  <c r="B76" i="10"/>
  <c r="D76" i="10" s="1"/>
  <c r="F76" i="10" s="1"/>
  <c r="C78" i="10"/>
  <c r="E78" i="10" s="1"/>
  <c r="G78" i="10" s="1"/>
  <c r="C80" i="10"/>
  <c r="E80" i="10" s="1"/>
  <c r="G80" i="10" s="1"/>
  <c r="B80" i="10"/>
  <c r="D80" i="10" s="1"/>
  <c r="F80" i="10" s="1"/>
  <c r="C79" i="10"/>
  <c r="E79" i="10" s="1"/>
  <c r="G79" i="10" s="1"/>
  <c r="C77" i="10"/>
  <c r="E77" i="10" s="1"/>
  <c r="G77" i="10" s="1"/>
  <c r="B77" i="10"/>
  <c r="D77" i="10" s="1"/>
  <c r="F77" i="10" s="1"/>
  <c r="B75" i="10"/>
  <c r="D75" i="10" s="1"/>
  <c r="F75" i="10" s="1"/>
  <c r="C45" i="10"/>
  <c r="C61" i="10" s="1"/>
  <c r="E16" i="12" s="1"/>
  <c r="F16" i="12" s="1"/>
  <c r="K42" i="18"/>
  <c r="L42" i="18" s="1"/>
  <c r="O42" i="18" s="1"/>
  <c r="J42" i="18"/>
  <c r="T42" i="18" s="1"/>
  <c r="R42" i="18"/>
  <c r="K50" i="18"/>
  <c r="L50" i="18" s="1"/>
  <c r="O50" i="18" s="1"/>
  <c r="J50" i="18"/>
  <c r="T50" i="18" s="1"/>
  <c r="R50" i="18"/>
  <c r="K41" i="18"/>
  <c r="L41" i="18" s="1"/>
  <c r="O41" i="18" s="1"/>
  <c r="J41" i="18"/>
  <c r="T41" i="18" s="1"/>
  <c r="R41" i="18"/>
  <c r="K49" i="18"/>
  <c r="L49" i="18" s="1"/>
  <c r="O49" i="18" s="1"/>
  <c r="J49" i="18"/>
  <c r="T49" i="18" s="1"/>
  <c r="R49" i="18"/>
  <c r="C44" i="5"/>
  <c r="C43" i="5"/>
  <c r="C34" i="5"/>
  <c r="C28" i="5"/>
  <c r="K40" i="18"/>
  <c r="L40" i="18" s="1"/>
  <c r="O40" i="18" s="1"/>
  <c r="J40" i="18"/>
  <c r="T40" i="18" s="1"/>
  <c r="R40" i="18"/>
  <c r="K48" i="18"/>
  <c r="L48" i="18" s="1"/>
  <c r="O48" i="18" s="1"/>
  <c r="J48" i="18"/>
  <c r="T48" i="18" s="1"/>
  <c r="R48" i="18"/>
  <c r="C17" i="17"/>
  <c r="C16" i="17"/>
  <c r="K34" i="18"/>
  <c r="L34" i="18" s="1"/>
  <c r="O34" i="18" s="1"/>
  <c r="J34" i="18"/>
  <c r="T34" i="18" s="1"/>
  <c r="R34" i="18"/>
  <c r="K39" i="18"/>
  <c r="L39" i="18" s="1"/>
  <c r="O39" i="18" s="1"/>
  <c r="J39" i="18"/>
  <c r="R39" i="18"/>
  <c r="G40" i="17"/>
  <c r="G17" i="17"/>
  <c r="G16" i="17"/>
  <c r="F29" i="4" l="1"/>
  <c r="S51" i="18"/>
  <c r="P51" i="18"/>
  <c r="Q51" i="18" s="1"/>
  <c r="P40" i="18"/>
  <c r="Q40" i="18" s="1"/>
  <c r="S40" i="18"/>
  <c r="S42" i="18"/>
  <c r="P42" i="18"/>
  <c r="Q42" i="18" s="1"/>
  <c r="S43" i="18"/>
  <c r="P43" i="18"/>
  <c r="Q43" i="18" s="1"/>
  <c r="C45" i="5"/>
  <c r="C61" i="5" s="1"/>
  <c r="S45" i="18"/>
  <c r="P45" i="18"/>
  <c r="Q45" i="18" s="1"/>
  <c r="C76" i="5"/>
  <c r="E76" i="5" s="1"/>
  <c r="G76" i="5" s="1"/>
  <c r="C78" i="5"/>
  <c r="E78" i="5" s="1"/>
  <c r="G78" i="5" s="1"/>
  <c r="H78" i="5" s="1"/>
  <c r="C75" i="5"/>
  <c r="E75" i="5" s="1"/>
  <c r="G75" i="5" s="1"/>
  <c r="B75" i="5"/>
  <c r="D75" i="5" s="1"/>
  <c r="F75" i="5" s="1"/>
  <c r="H75" i="5" s="1"/>
  <c r="B77" i="5"/>
  <c r="D77" i="5" s="1"/>
  <c r="F77" i="5" s="1"/>
  <c r="H77" i="5" s="1"/>
  <c r="C80" i="5"/>
  <c r="E80" i="5" s="1"/>
  <c r="G80" i="5" s="1"/>
  <c r="B80" i="5"/>
  <c r="D80" i="5" s="1"/>
  <c r="F80" i="5" s="1"/>
  <c r="H80" i="5" s="1"/>
  <c r="C77" i="5"/>
  <c r="E77" i="5" s="1"/>
  <c r="G77" i="5" s="1"/>
  <c r="B76" i="5"/>
  <c r="D76" i="5" s="1"/>
  <c r="F76" i="5" s="1"/>
  <c r="C79" i="5"/>
  <c r="E79" i="5" s="1"/>
  <c r="G79" i="5" s="1"/>
  <c r="H79" i="5" s="1"/>
  <c r="S35" i="18"/>
  <c r="P35" i="18"/>
  <c r="Q35" i="18" s="1"/>
  <c r="S37" i="18"/>
  <c r="T37" i="18" s="1"/>
  <c r="P37" i="18"/>
  <c r="Q37" i="18" s="1"/>
  <c r="S34" i="18"/>
  <c r="P34" i="18"/>
  <c r="Q34" i="18" s="1"/>
  <c r="S49" i="18"/>
  <c r="P49" i="18"/>
  <c r="Q49" i="18" s="1"/>
  <c r="F33" i="4"/>
  <c r="D5" i="6"/>
  <c r="T46" i="18"/>
  <c r="S44" i="18"/>
  <c r="P44" i="18"/>
  <c r="Q44" i="18" s="1"/>
  <c r="S46" i="18"/>
  <c r="P46" i="18"/>
  <c r="Q46" i="18" s="1"/>
  <c r="T44" i="18"/>
  <c r="B18" i="17"/>
  <c r="C18" i="17" s="1"/>
  <c r="C48" i="17" s="1"/>
  <c r="C45" i="17"/>
  <c r="G42" i="17"/>
  <c r="G41" i="17"/>
  <c r="G45" i="17" s="1"/>
  <c r="S38" i="18"/>
  <c r="T38" i="18" s="1"/>
  <c r="P38" i="18"/>
  <c r="Q38" i="18" s="1"/>
  <c r="P39" i="18"/>
  <c r="Q39" i="18" s="1"/>
  <c r="S39" i="18"/>
  <c r="T39" i="18" s="1"/>
  <c r="P48" i="18"/>
  <c r="Q48" i="18" s="1"/>
  <c r="S48" i="18"/>
  <c r="S50" i="18"/>
  <c r="P50" i="18"/>
  <c r="Q50" i="18" s="1"/>
  <c r="S36" i="18"/>
  <c r="P36" i="18"/>
  <c r="Q36" i="18" s="1"/>
  <c r="S41" i="18"/>
  <c r="P41" i="18"/>
  <c r="Q41" i="18" s="1"/>
  <c r="F18" i="17"/>
  <c r="G18" i="17" s="1"/>
  <c r="G48" i="17" s="1"/>
  <c r="P47" i="18"/>
  <c r="Q47" i="18" s="1"/>
  <c r="S47" i="18"/>
  <c r="G47" i="17" l="1"/>
  <c r="G46" i="17"/>
  <c r="C56" i="18"/>
  <c r="C55" i="18"/>
  <c r="C54" i="18"/>
  <c r="C53" i="18"/>
  <c r="C47" i="17"/>
  <c r="A50" i="17" s="1"/>
  <c r="C46" i="17"/>
  <c r="F43" i="17"/>
  <c r="G43" i="17" s="1"/>
  <c r="F37" i="17"/>
  <c r="G37" i="17" s="1"/>
  <c r="F25" i="17"/>
  <c r="G25" i="17" s="1"/>
  <c r="F31" i="17"/>
  <c r="G31" i="17" s="1"/>
  <c r="C36" i="5"/>
  <c r="C37" i="5" s="1"/>
  <c r="C39" i="5" s="1"/>
  <c r="B25" i="17"/>
  <c r="C25" i="17" s="1"/>
  <c r="B31" i="17"/>
  <c r="C31" i="17" s="1"/>
  <c r="E5" i="6"/>
  <c r="E7" i="6" s="1"/>
  <c r="D7" i="6"/>
  <c r="H76" i="5"/>
  <c r="C66" i="5" l="1"/>
  <c r="C67" i="5" s="1"/>
  <c r="C68" i="5" s="1"/>
  <c r="C41" i="5"/>
  <c r="C42" i="5" s="1"/>
  <c r="C56" i="5"/>
  <c r="C46" i="5" l="1"/>
  <c r="C47" i="5"/>
  <c r="C57" i="5"/>
  <c r="C70" i="5" s="1"/>
  <c r="C48" i="5" l="1"/>
  <c r="C59" i="5" s="1"/>
  <c r="C60" i="5" l="1"/>
  <c r="C6" i="6" s="1"/>
  <c r="C7" i="6" s="1"/>
  <c r="C8" i="6" s="1"/>
  <c r="C69" i="5"/>
  <c r="C71" i="5" s="1"/>
  <c r="D13" i="6" l="1"/>
  <c r="D14" i="6" s="1"/>
  <c r="B3" i="7" s="1"/>
  <c r="D10" i="6"/>
  <c r="D11" i="6" s="1"/>
  <c r="C23" i="7" l="1"/>
  <c r="D23" i="7" s="1"/>
  <c r="C28" i="7"/>
  <c r="D28" i="7" s="1"/>
  <c r="C17" i="7"/>
  <c r="D17" i="7" s="1"/>
  <c r="C9" i="7"/>
  <c r="D9" i="7" s="1"/>
  <c r="C27" i="7"/>
  <c r="D27" i="7" s="1"/>
  <c r="C21" i="7"/>
  <c r="D21" i="7" s="1"/>
  <c r="C11" i="7"/>
  <c r="D11" i="7" s="1"/>
  <c r="H10" i="7" s="1"/>
  <c r="C14" i="7"/>
  <c r="D14" i="7" s="1"/>
  <c r="K10" i="7" s="1"/>
  <c r="C29" i="7"/>
  <c r="D29" i="7" s="1"/>
  <c r="H16" i="7" s="1"/>
  <c r="C31" i="7"/>
  <c r="D31" i="7" s="1"/>
  <c r="C18" i="7"/>
  <c r="D18" i="7" s="1"/>
  <c r="C24" i="7"/>
  <c r="D24" i="7" s="1"/>
  <c r="C13" i="7"/>
  <c r="D13" i="7" s="1"/>
  <c r="J10" i="7" s="1"/>
  <c r="C30" i="7"/>
  <c r="D30" i="7" s="1"/>
  <c r="C10" i="7"/>
  <c r="D10" i="7" s="1"/>
  <c r="C20" i="7"/>
  <c r="D20" i="7" s="1"/>
  <c r="K12" i="7" s="1"/>
  <c r="C22" i="7"/>
  <c r="D22" i="7" s="1"/>
  <c r="G14" i="7" s="1"/>
  <c r="C16" i="7"/>
  <c r="D16" i="7" s="1"/>
  <c r="C12" i="7"/>
  <c r="D12" i="7" s="1"/>
  <c r="I10" i="7" s="1"/>
  <c r="C26" i="7"/>
  <c r="D26" i="7" s="1"/>
  <c r="K14" i="7" s="1"/>
  <c r="C15" i="7"/>
  <c r="D15" i="7" s="1"/>
  <c r="F12" i="7" s="1"/>
  <c r="C32" i="7"/>
  <c r="D32" i="7" s="1"/>
  <c r="C19" i="7"/>
  <c r="D19" i="7" s="1"/>
  <c r="C25" i="7"/>
  <c r="D25" i="7" s="1"/>
  <c r="J12" i="7" l="1"/>
  <c r="G10" i="9"/>
  <c r="H10" i="9" s="1"/>
  <c r="I10" i="9" s="1"/>
  <c r="C11" i="9"/>
  <c r="D11" i="9" s="1"/>
  <c r="F14" i="7"/>
  <c r="C16" i="9"/>
  <c r="D16" i="9" s="1"/>
  <c r="F16" i="7"/>
  <c r="C19" i="9"/>
  <c r="I16" i="7"/>
  <c r="F10" i="8"/>
  <c r="B25" i="9"/>
  <c r="C6" i="9"/>
  <c r="F10" i="7"/>
  <c r="D5" i="8"/>
  <c r="G5" i="8" s="1"/>
  <c r="F9" i="8"/>
  <c r="I14" i="7"/>
  <c r="G18" i="9"/>
  <c r="D10" i="8"/>
  <c r="G14" i="9"/>
  <c r="H14" i="9" s="1"/>
  <c r="I14" i="9" s="1"/>
  <c r="G13" i="9"/>
  <c r="J16" i="7"/>
  <c r="C20" i="9"/>
  <c r="D12" i="8"/>
  <c r="F11" i="8"/>
  <c r="J14" i="7"/>
  <c r="G15" i="9"/>
  <c r="H15" i="9" s="1"/>
  <c r="I15" i="9" s="1"/>
  <c r="G19" i="9"/>
  <c r="D11" i="8"/>
  <c r="G11" i="8" s="1"/>
  <c r="G12" i="9"/>
  <c r="G8" i="9"/>
  <c r="H8" i="9" s="1"/>
  <c r="I8" i="9" s="1"/>
  <c r="C38" i="10"/>
  <c r="G7" i="9"/>
  <c r="D8" i="8"/>
  <c r="G8" i="8" s="1"/>
  <c r="F7" i="8"/>
  <c r="H12" i="7"/>
  <c r="F5" i="8"/>
  <c r="G10" i="7"/>
  <c r="B26" i="9"/>
  <c r="G6" i="9"/>
  <c r="D6" i="8"/>
  <c r="G6" i="8" s="1"/>
  <c r="G9" i="9"/>
  <c r="H9" i="9" s="1"/>
  <c r="I9" i="9" s="1"/>
  <c r="I12" i="7"/>
  <c r="K16" i="7"/>
  <c r="F12" i="8"/>
  <c r="G20" i="9"/>
  <c r="G12" i="7"/>
  <c r="C12" i="9"/>
  <c r="C7" i="9"/>
  <c r="D7" i="8"/>
  <c r="G7" i="8" s="1"/>
  <c r="H7" i="8" s="1"/>
  <c r="F6" i="8"/>
  <c r="C17" i="9"/>
  <c r="D17" i="9" s="1"/>
  <c r="G16" i="7"/>
  <c r="H78" i="10"/>
  <c r="H80" i="10"/>
  <c r="H75" i="10"/>
  <c r="F8" i="8"/>
  <c r="H77" i="10"/>
  <c r="C18" i="9"/>
  <c r="C13" i="9"/>
  <c r="D9" i="8"/>
  <c r="H76" i="10"/>
  <c r="H14" i="7"/>
  <c r="H79" i="10"/>
  <c r="G9" i="8" l="1"/>
  <c r="H9" i="8" s="1"/>
  <c r="F12" i="9"/>
  <c r="H8" i="8"/>
  <c r="B13" i="9" s="1"/>
  <c r="C36" i="10"/>
  <c r="C37" i="10" s="1"/>
  <c r="C39" i="10" s="1"/>
  <c r="G12" i="8"/>
  <c r="H12" i="8" s="1"/>
  <c r="H6" i="8"/>
  <c r="B7" i="9" s="1"/>
  <c r="H5" i="8"/>
  <c r="D26" i="9" s="1"/>
  <c r="F26" i="9" s="1"/>
  <c r="D25" i="9"/>
  <c r="F25" i="9" s="1"/>
  <c r="H11" i="8"/>
  <c r="B20" i="9" s="1"/>
  <c r="G10" i="8"/>
  <c r="F6" i="9" l="1"/>
  <c r="F18" i="9"/>
  <c r="H10" i="8"/>
  <c r="B19" i="9" s="1"/>
  <c r="D19" i="9" s="1"/>
  <c r="F7" i="9"/>
  <c r="H7" i="9" s="1"/>
  <c r="I7" i="9" s="1"/>
  <c r="D7" i="9"/>
  <c r="F20" i="9"/>
  <c r="H20" i="9" s="1"/>
  <c r="I20" i="9" s="1"/>
  <c r="D20" i="9"/>
  <c r="C4" i="18"/>
  <c r="C16" i="18" s="1"/>
  <c r="C17" i="18" s="1"/>
  <c r="C66" i="10"/>
  <c r="C67" i="10" s="1"/>
  <c r="C68" i="10" s="1"/>
  <c r="C41" i="10"/>
  <c r="C42" i="10" s="1"/>
  <c r="C56" i="10"/>
  <c r="D13" i="9"/>
  <c r="F13" i="9"/>
  <c r="H13" i="9" s="1"/>
  <c r="I13" i="9" s="1"/>
  <c r="H12" i="9"/>
  <c r="I12" i="9" s="1"/>
  <c r="B12" i="9"/>
  <c r="D12" i="9" s="1"/>
  <c r="F19" i="9"/>
  <c r="H19" i="9" s="1"/>
  <c r="I19" i="9" s="1"/>
  <c r="B6" i="9"/>
  <c r="H6" i="9"/>
  <c r="C47" i="10" l="1"/>
  <c r="C46" i="10"/>
  <c r="C48" i="10" s="1"/>
  <c r="C59" i="10" s="1"/>
  <c r="C57" i="10"/>
  <c r="C70" i="10" s="1"/>
  <c r="I6" i="9"/>
  <c r="D6" i="9"/>
  <c r="F21" i="9"/>
  <c r="B18" i="9"/>
  <c r="D18" i="9" s="1"/>
  <c r="H18" i="9"/>
  <c r="I18" i="9" s="1"/>
  <c r="D21" i="9" l="1"/>
  <c r="F31" i="9" s="1"/>
  <c r="C5" i="11" s="1"/>
  <c r="I21" i="9"/>
  <c r="C7" i="12"/>
  <c r="I7" i="12"/>
  <c r="J7" i="12" s="1"/>
  <c r="E15" i="12" s="1"/>
  <c r="F15" i="12" s="1"/>
  <c r="C6" i="12"/>
  <c r="C8" i="12" s="1"/>
  <c r="C60" i="10"/>
  <c r="C69" i="10"/>
  <c r="B21" i="9"/>
  <c r="F29" i="9" s="1"/>
  <c r="H21" i="9"/>
  <c r="F32" i="9" s="1"/>
  <c r="I6" i="12" l="1"/>
  <c r="J6" i="12" s="1"/>
  <c r="E14" i="12" s="1"/>
  <c r="F14" i="12" s="1"/>
  <c r="C71" i="10"/>
  <c r="E12" i="12"/>
  <c r="E7" i="12"/>
  <c r="C3" i="18"/>
  <c r="C6" i="11"/>
  <c r="D5" i="11"/>
  <c r="F33" i="9"/>
  <c r="C7" i="11"/>
  <c r="E8" i="12" l="1"/>
  <c r="E11" i="12"/>
  <c r="E13" i="12" s="1"/>
  <c r="E17" i="12"/>
  <c r="E5" i="11"/>
  <c r="E7" i="11" s="1"/>
  <c r="C8" i="11" s="1"/>
  <c r="D7" i="11"/>
  <c r="H13" i="18"/>
  <c r="H20" i="18"/>
  <c r="H19" i="18"/>
  <c r="H18" i="18"/>
  <c r="H17" i="18"/>
  <c r="H16" i="18"/>
  <c r="H15" i="18"/>
  <c r="H14" i="18"/>
  <c r="C18" i="18"/>
  <c r="C19" i="18" s="1"/>
  <c r="D13" i="11" l="1"/>
  <c r="D14" i="11" s="1"/>
  <c r="D10" i="11"/>
  <c r="D1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расчёт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Супесь: kо.р = 1,03…1,05 (прил. 2 методички). Принято 1,04 — по указанию преподавателя брать в этом диапазоне.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Супесь: kр = 1,12…1,17 (прил. 2 методички). Принято 1,15 — решение пользователя.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расчёт</author>
  </authors>
  <commentList>
    <comment ref="A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пятиугольник: h1, h7, h8; т.0 на h1–h2, h2–h8</t>
        </r>
      </text>
    </comment>
    <comment ref="E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треугольник: h2; т.0 на h2–h8, h1–h2</t>
        </r>
      </text>
    </comment>
    <comment ref="A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треугольник: h8; т.0 на h2–h8, h8–h9</t>
        </r>
      </text>
    </comment>
    <comment ref="E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пятиугольник: h9, h3, h2; т.0 на h8–h9, h2–h8</t>
        </r>
      </text>
    </comment>
    <comment ref="E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квадрат: h9, h10, h4, h3</t>
        </r>
      </text>
    </comment>
    <comment ref="E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квадрат: h10, h11, h5, h4</t>
        </r>
      </text>
    </comment>
    <comment ref="E10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квадрат: h11, h12, h6, h5</t>
        </r>
      </text>
    </comment>
    <comment ref="A1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квадрат: h13, h14, h8, h7</t>
        </r>
      </text>
    </comment>
    <comment ref="A1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пятиугольник: h8, h14, h15; т.0 на h8–h9, h9–h15</t>
        </r>
      </text>
    </comment>
    <comment ref="E12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треугольник: h9; т.0 на h9–h15, h8–h9</t>
        </r>
      </text>
    </comment>
    <comment ref="A13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треугольник: h15; т.0 на h9–h15, h15–h16</t>
        </r>
      </text>
    </comment>
    <comment ref="E13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пятиугольник: h16, h10, h9; т.0 на h15–h16, h9–h15</t>
        </r>
      </text>
    </comment>
    <comment ref="E1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квадрат: h16, h17, h11, h10</t>
        </r>
      </text>
    </comment>
    <comment ref="E15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квадрат: h17, h18, h12, h11</t>
        </r>
      </text>
    </comment>
    <comment ref="A16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квадрат: h19, h20, h14, h13</t>
        </r>
      </text>
    </comment>
    <comment ref="A1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квадрат: h20, h21, h15, h14</t>
        </r>
      </text>
    </comment>
    <comment ref="A18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пятиугольник: h15, h21, h22; т.0 на h15–h16, h16–h22</t>
        </r>
      </text>
    </comment>
    <comment ref="E18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треугольник: h16; т.0 на h16–h22, h15–h16</t>
        </r>
      </text>
    </comment>
    <comment ref="A19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трапеция: h22, h23; т.0 на h16–h22, h17–h23</t>
        </r>
      </text>
    </comment>
    <comment ref="E19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трапеция: h17, h16; т.0 на h17–h23, h16–h22</t>
        </r>
      </text>
    </comment>
    <comment ref="A20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треугольник: h23; т.0 на h17–h23, h23–h24</t>
        </r>
      </text>
    </comment>
    <comment ref="E20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пятиугольник: h24, h18, h17; т.0 на h23–h24, h17–h23</t>
        </r>
      </text>
    </comment>
    <comment ref="A25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вершины на контуре: h1, h23, h22, h21, h20, h19, h13, h7</t>
        </r>
      </text>
    </comment>
    <comment ref="E25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супесь, глубина до 1,5 м — 1:0,25 (прил. 3)</t>
        </r>
      </text>
    </comment>
    <comment ref="A26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вершины на контуре: h2, h3, h4, h5, h6, h12, h18, h24</t>
        </r>
      </text>
    </comment>
    <comment ref="E26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супесь, глубина до 1,5 м — 1:0,25 (прил. 3)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расчёт</author>
  </authors>
  <commentList>
    <comment ref="A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пятиугольник: h1, h7, h8; т.0 на h1–h2, h2–h8</t>
        </r>
      </text>
    </comment>
    <comment ref="E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треугольник: h2; т.0 на h2–h8, h1–h2</t>
        </r>
      </text>
    </comment>
    <comment ref="A7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треугольник: h8; т.0 на h2–h8, h8–h9</t>
        </r>
      </text>
    </comment>
    <comment ref="E7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пятиугольник: h9, h3, h2; т.0 на h8–h9, h2–h8</t>
        </r>
      </text>
    </comment>
    <comment ref="E8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квадрат: h9, h10, h4, h3</t>
        </r>
      </text>
    </comment>
    <comment ref="E9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квадрат: h10, h11, h5, h4</t>
        </r>
      </text>
    </comment>
    <comment ref="E10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квадрат: h11, h12, h6, h5</t>
        </r>
      </text>
    </comment>
    <comment ref="A1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квадрат: h13, h14, h8, h7</t>
        </r>
      </text>
    </comment>
    <comment ref="A12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пятиугольник: h8, h14, h15; т.0 на h8–h9, h9–h15</t>
        </r>
      </text>
    </comment>
    <comment ref="E12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треугольник: h9; т.0 на h9–h15, h8–h9</t>
        </r>
      </text>
    </comment>
    <comment ref="A13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треугольник: h15; т.0 на h9–h15, h15–h16</t>
        </r>
      </text>
    </comment>
    <comment ref="E13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пятиугольник: h16, h10, h9; т.0 на h15–h16, h9–h15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квадрат: h16, h17, h11, h10</t>
        </r>
      </text>
    </comment>
    <comment ref="E1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квадрат: h17, h18, h12, h11</t>
        </r>
      </text>
    </comment>
    <comment ref="A1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квадрат: h19, h20, h14, h13</t>
        </r>
      </text>
    </comment>
    <comment ref="A1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квадрат: h20, h21, h15, h14</t>
        </r>
      </text>
    </comment>
    <comment ref="A18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пятиугольник: h15, h21, h22; т.0 на h15–h16, h16–h22</t>
        </r>
      </text>
    </comment>
    <comment ref="E18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треугольник: h16; т.0 на h16–h22, h15–h16</t>
        </r>
      </text>
    </comment>
    <comment ref="A1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трапеция: h22, h23; т.0 на h16–h22, h17–h23</t>
        </r>
      </text>
    </comment>
    <comment ref="E1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трапеция: h17, h16; т.0 на h17–h23, h16–h22</t>
        </r>
      </text>
    </comment>
    <comment ref="A20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треугольник: h23; т.0 на h17–h23, h23–h24</t>
        </r>
      </text>
    </comment>
    <comment ref="E20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пятиугольник: h24, h18, h17; т.0 на h23–h24, h17–h23</t>
        </r>
      </text>
    </comment>
    <comment ref="A25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вершины на контуре: h1, h23, h22, h21, h20, h19, h13, h7</t>
        </r>
      </text>
    </comment>
    <comment ref="E25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супесь, глубина до 1,5 м — 1:0,25 (прил. 3)</t>
        </r>
      </text>
    </comment>
    <comment ref="A26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вершины на контуре: h2, h3, h4, h5, h6, h12, h18, h24</t>
        </r>
      </text>
    </comment>
    <comment ref="E26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супесь, глубина до 1,5 м — 1:0,25 (прил. 3)</t>
        </r>
      </text>
    </comment>
  </commentList>
</comments>
</file>

<file path=xl/sharedStrings.xml><?xml version="1.0" encoding="utf-8"?>
<sst xmlns="http://schemas.openxmlformats.org/spreadsheetml/2006/main" count="1215" uniqueCount="517">
  <si>
    <t>Курсовая работа по ТСП «Технологическая карта на производство земляных работ», вариант 2: таблицы расчёта</t>
  </si>
  <si>
    <t>№</t>
  </si>
  <si>
    <t>Лист</t>
  </si>
  <si>
    <t>Содержание</t>
  </si>
  <si>
    <t>Исходные данные</t>
  </si>
  <si>
    <t>Рабочие отметки варианта 2, коэффициенты kо.р и kр</t>
  </si>
  <si>
    <t>ЛНР (черн.)</t>
  </si>
  <si>
    <t>Точки нулевых работ (п. 2.2.1), черновик</t>
  </si>
  <si>
    <t>Табл. 1 объёмы (черн.)</t>
  </si>
  <si>
    <t>Ведомость объёмов работ по вертикальной планировке (табл. 1), черновик</t>
  </si>
  <si>
    <t>Котлован (черн.)</t>
  </si>
  <si>
    <t>Контуры, размеры и объём котлована (п. 2.2.2), черновик</t>
  </si>
  <si>
    <t>Табл. 2 баланс (черн.)</t>
  </si>
  <si>
    <t>Сводная ведомость объёмов грунта (табл. 2) и поправка Δh (п. 2.2.3)</t>
  </si>
  <si>
    <t>Отметки (оконч.)</t>
  </si>
  <si>
    <t>Окончательные рабочие отметки h + Δh</t>
  </si>
  <si>
    <t>ЛНР (оконч.)</t>
  </si>
  <si>
    <t>Точки нулевых работ по окончательным отметкам</t>
  </si>
  <si>
    <t>Табл. 1 объёмы (оконч.)</t>
  </si>
  <si>
    <t>Ведомость объёмов работ по вертикальной планировке (табл. 1), окончательная</t>
  </si>
  <si>
    <t>Котлован (оконч.)</t>
  </si>
  <si>
    <t>Котлован по окончательным отметкам: съезд, обратная засыпка</t>
  </si>
  <si>
    <t>Табл. 2 баланс (оконч.)</t>
  </si>
  <si>
    <t>Сводная ведомость объёмов грунта (табл. 2), окончательная</t>
  </si>
  <si>
    <t>Табл. 3 котлован</t>
  </si>
  <si>
    <t>Баланс земляных работ по котловану (табл. 3, п. 2.2.4)</t>
  </si>
  <si>
    <t>Табл. 4 распределение</t>
  </si>
  <si>
    <t>Баланс распределения земляных масс (табл. 4, п. 2.2.5)</t>
  </si>
  <si>
    <t>Табл. 5 скрепер</t>
  </si>
  <si>
    <t>Средняя дальность перемещения грунта скрепером (табл. 5, п. 2.2.6)</t>
  </si>
  <si>
    <t>Табл. 6 самосвал</t>
  </si>
  <si>
    <t>Средняя дальность перемещения грунта автосамосвалом (табл. 6, п. 2.2.6)</t>
  </si>
  <si>
    <t>2.3 Грунт и нормы ЕНиР</t>
  </si>
  <si>
    <t>Характеристика грунта и нормы времени машин по ЕНиР Е2-1 (п. 2.3)</t>
  </si>
  <si>
    <t>Табл. 7 варианты</t>
  </si>
  <si>
    <t>Варианты с различными ведущими машинами (табл. 7, п. 2.3.1)</t>
  </si>
  <si>
    <t>2.3.2 Экскаватор, самосвалы</t>
  </si>
  <si>
    <t>Выбор экскаватора и автосамосвалов (п. 2.3.2)</t>
  </si>
  <si>
    <t>Курсовая работа «Технологическая карта на производство земляных работ». Вариант 2</t>
  </si>
  <si>
    <t>Сторона квадрата сетки a, м</t>
  </si>
  <si>
    <t>Редактировать можно только синие ячейки (жёлтая — принятое допущение).</t>
  </si>
  <si>
    <t>Коэффициент остаточного разрыхления Kор</t>
  </si>
  <si>
    <t>Рабочая отметка h = Hкр − Hчёрн: «−» — выемка (ПВ), «+» — насыпь (ПН).</t>
  </si>
  <si>
    <t>Грунт</t>
  </si>
  <si>
    <t>супесь</t>
  </si>
  <si>
    <t>Отметки — вариант 2. Вершины нумеруются построчно слева направо, сверху вниз.</t>
  </si>
  <si>
    <t>Число квадратов</t>
  </si>
  <si>
    <t>Коэффициент первоначального разрыхления kр</t>
  </si>
  <si>
    <t>№ вершины</t>
  </si>
  <si>
    <t>h, м</t>
  </si>
  <si>
    <t>Схема сетки (вид в плане, квадрат 100×100 м)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</si>
  <si>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</si>
  <si>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</si>
  <si>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</si>
  <si>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</si>
  <si>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</si>
  <si>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</si>
  <si>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</si>
  <si>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</si>
  <si>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</si>
  <si>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</si>
  <si>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</si>
  <si>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</si>
  <si>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</si>
  <si>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</si>
  <si>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</si>
  <si>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</si>
  <si>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</si>
  <si>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</si>
  <si>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</si>
  <si>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</si>
  <si>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</si>
  <si>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</si>
  <si>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</si>
  <si>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</si>
  <si>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Точки нулевых работ на сторонах квадратов (черновик)</t>
  </si>
  <si>
    <t>x1 = a·|h1| / (|h1| + |h2|) — расстояние от вершины 1 до точки нуля;  x2 = a − x1</t>
  </si>
  <si>
    <t>№ т.0</t>
  </si>
  <si>
    <t>Сторона</t>
  </si>
  <si>
    <t>Вершина 1</t>
  </si>
  <si>
    <t>h1, м</t>
  </si>
  <si>
    <t>Вершина 2</t>
  </si>
  <si>
    <t>h2, м</t>
  </si>
  <si>
    <t>x1 (от верш. 1), м</t>
  </si>
  <si>
    <t>x2 (от верш. 2), м</t>
  </si>
  <si>
    <t>горизонтальная</t>
  </si>
  <si>
    <t>вертикальная</t>
  </si>
  <si>
    <t>Объёмы планировочных работ (метод квадратов), черновик</t>
  </si>
  <si>
    <t>Vi = Fi · hср,i;   hср,i = (|h1| + |h2| + … + |hn|) / n, в точках нуля h = 0</t>
  </si>
  <si>
    <t>Планировочная выемка (ПВ)</t>
  </si>
  <si>
    <t>Планировочная насыпь (ПН)</t>
  </si>
  <si>
    <t>№ фигуры</t>
  </si>
  <si>
    <t>Fi, м²</t>
  </si>
  <si>
    <t>hср, м</t>
  </si>
  <si>
    <t>Vi, м³</t>
  </si>
  <si>
    <t>Vгр = Vi / Kор, м³</t>
  </si>
  <si>
    <t>1</t>
  </si>
  <si>
    <t>1'</t>
  </si>
  <si>
    <t>2</t>
  </si>
  <si>
    <t>2'</t>
  </si>
  <si>
    <t>—</t>
  </si>
  <si>
    <t>3</t>
  </si>
  <si>
    <t>4</t>
  </si>
  <si>
    <t>5</t>
  </si>
  <si>
    <t>6</t>
  </si>
  <si>
    <t>7</t>
  </si>
  <si>
    <t>7'</t>
  </si>
  <si>
    <t>8</t>
  </si>
  <si>
    <t>8'</t>
  </si>
  <si>
    <t>9</t>
  </si>
  <si>
    <t>10</t>
  </si>
  <si>
    <t>11</t>
  </si>
  <si>
    <t>12</t>
  </si>
  <si>
    <t>13</t>
  </si>
  <si>
    <t>13'</t>
  </si>
  <si>
    <t>14</t>
  </si>
  <si>
    <t>14'</t>
  </si>
  <si>
    <t>15</t>
  </si>
  <si>
    <t>15'</t>
  </si>
  <si>
    <t>Σ</t>
  </si>
  <si>
    <t>Откосы по контуру площадки: ΣV = (Σh / n)² · Σl · m / 2  (с. 10 методички)</t>
  </si>
  <si>
    <t>Зона</t>
  </si>
  <si>
    <t>Σh, м</t>
  </si>
  <si>
    <t>n</t>
  </si>
  <si>
    <t>Σl, м</t>
  </si>
  <si>
    <t>m</t>
  </si>
  <si>
    <t>V, м³</t>
  </si>
  <si>
    <t>выемка</t>
  </si>
  <si>
    <t>насыпь</t>
  </si>
  <si>
    <t>Итого с откосами (ΣVв.геом, ΣVн.геом в табл. 2)</t>
  </si>
  <si>
    <t>Площадь ПВ + ПН, м² (проверка)</t>
  </si>
  <si>
    <t>Площадь площадки 5 × 3 × a², м²</t>
  </si>
  <si>
    <t>ΣVв.геом — выемка: фигуры + откосы, м³</t>
  </si>
  <si>
    <t>ΣVн.геом — насыпь: фигуры + откосы, м³</t>
  </si>
  <si>
    <t>ΣVн.геом / Kор — грунта в плотном теле на насыпь, м³</t>
  </si>
  <si>
    <t>Котлован по черновику: контуры, размеры, объём (п. 2.2.2 методички)</t>
  </si>
  <si>
    <t>Задание 4, вариант 2 — только габариты; грунт — супесь. Здание — вариант размещения 8: центр здания в центре квадрата 8.</t>
  </si>
  <si>
    <t>Параметр</t>
  </si>
  <si>
    <t>Обозн.</t>
  </si>
  <si>
    <t>Значение</t>
  </si>
  <si>
    <t>Ед.</t>
  </si>
  <si>
    <t>Формула / источник</t>
  </si>
  <si>
    <t>Исходные данные — Задание 4, вариант 2</t>
  </si>
  <si>
    <t>Глубина котлована по заданию (от планировочной отметки)</t>
  </si>
  <si>
    <t>Нк</t>
  </si>
  <si>
    <t>м</t>
  </si>
  <si>
    <t>Высота фундаментной плиты</t>
  </si>
  <si>
    <t>Нф.п</t>
  </si>
  <si>
    <t>Толщина бетонной подготовки</t>
  </si>
  <si>
    <t>hб.п</t>
  </si>
  <si>
    <t>Толщина подсыпки (щебень)</t>
  </si>
  <si>
    <t>hподс</t>
  </si>
  <si>
    <t>Толщина растительного слоя</t>
  </si>
  <si>
    <t>hр.сл</t>
  </si>
  <si>
    <t>методичка, с. 11: 200 мм</t>
  </si>
  <si>
    <t>Толщина стены подвала (по оси)</t>
  </si>
  <si>
    <t>Bп</t>
  </si>
  <si>
    <t>схема размещения фундамента</t>
  </si>
  <si>
    <t>Вылет плиты за наружную грань стены</t>
  </si>
  <si>
    <t>схема: 500</t>
  </si>
  <si>
    <t>Выход бетонной подготовки за плиту</t>
  </si>
  <si>
    <t>схема: 200; методичка — не менее 0,2</t>
  </si>
  <si>
    <t>От края подготовки до низа откоса</t>
  </si>
  <si>
    <t>Длина здания по осям</t>
  </si>
  <si>
    <t>Ширина здания по осям</t>
  </si>
  <si>
    <t>Вырез (правый нижний угол): длина</t>
  </si>
  <si>
    <t>Вырез: ширина</t>
  </si>
  <si>
    <t>Левый нижний угол квадрата 8: x</t>
  </si>
  <si>
    <t>Левый нижний угол квадрата 8: y</t>
  </si>
  <si>
    <t>Левая ось здания (центр в центре квадрата 8)</t>
  </si>
  <si>
    <t>X0</t>
  </si>
  <si>
    <t>Нижняя ось здания</t>
  </si>
  <si>
    <t>Y0</t>
  </si>
  <si>
    <t>Привязки от осей здания</t>
  </si>
  <si>
    <t>Ось → наружная грань стены</t>
  </si>
  <si>
    <t>Ось → край фундаментной плиты</t>
  </si>
  <si>
    <t>A</t>
  </si>
  <si>
    <t>Ось → край бетонной подготовки</t>
  </si>
  <si>
    <t>Ось → низ откоса (подошва котлована)</t>
  </si>
  <si>
    <t>Рабочая зона от плиты до откоса</t>
  </si>
  <si>
    <t>C</t>
  </si>
  <si>
    <t>не менее 0,6 м</t>
  </si>
  <si>
    <t>Радиус поворотной платформы крана</t>
  </si>
  <si>
    <t>r</t>
  </si>
  <si>
    <t>лекция</t>
  </si>
  <si>
    <t>Со стороны съезда: от плиты до низа откоса</t>
  </si>
  <si>
    <t>c</t>
  </si>
  <si>
    <t>лекция: c = 1 + 2r + 1 - место для крана на дне</t>
  </si>
  <si>
    <t>Ось → низ откоса со стороны съезда (правая)</t>
  </si>
  <si>
    <t>Положение котлована относительно ЛНР</t>
  </si>
  <si>
    <t>Крутизна откоса при Нк (предварительно)</t>
  </si>
  <si>
    <t>m0</t>
  </si>
  <si>
    <t>прил. 3, супесь: до 1,5 — 0,25; до 3 — 0,67; до 5 — 0,85</t>
  </si>
  <si>
    <t>Ось → бровка (предварительно)</t>
  </si>
  <si>
    <t>Ось → бровка со стороны съезда (предварительно)</t>
  </si>
  <si>
    <t>Среднее рабочих отметок по углам котлована</t>
  </si>
  <si>
    <t>hср.углов</t>
  </si>
  <si>
    <t>таблица углов ниже; «+» — насыпь</t>
  </si>
  <si>
    <t>Котлован в зоне</t>
  </si>
  <si>
    <t>ЛНР пересекает котлован — по среднему</t>
  </si>
  <si>
    <t>Рабочая отметка в центре котлована (центр квадрата 8)</t>
  </si>
  <si>
    <t>hр</t>
  </si>
  <si>
    <t>билинейно; в центре квадрата = среднее h9, h10, h15, h16</t>
  </si>
  <si>
    <t>Фактическая глубина котлована</t>
  </si>
  <si>
    <t>hк</t>
  </si>
  <si>
    <t>hк = Нк − hр.сл − hр (с. 11; hр — только в насыпи)</t>
  </si>
  <si>
    <t>Откосы и контуры</t>
  </si>
  <si>
    <t>Коэффициент откоса (супесь)</t>
  </si>
  <si>
    <t>прил. 3</t>
  </si>
  <si>
    <t>Заложение откоса</t>
  </si>
  <si>
    <t>l</t>
  </si>
  <si>
    <t>l = hк · m</t>
  </si>
  <si>
    <t>Низ котлована: длина</t>
  </si>
  <si>
    <t>Низ котлована: ширина</t>
  </si>
  <si>
    <t>Площадь по низу</t>
  </si>
  <si>
    <t>Fк.н</t>
  </si>
  <si>
    <t>м²</t>
  </si>
  <si>
    <t>L·B − вырез (42 − d + dс) × 12</t>
  </si>
  <si>
    <t>Верх котлована: длина</t>
  </si>
  <si>
    <t>Верх котлована: ширина</t>
  </si>
  <si>
    <t>Площадь по верху</t>
  </si>
  <si>
    <t>Fк.в</t>
  </si>
  <si>
    <t>Площадь по наружному контуру стен</t>
  </si>
  <si>
    <t>Fк.с.п</t>
  </si>
  <si>
    <t>Площадь фундаментной плиты</t>
  </si>
  <si>
    <t>Fф.п</t>
  </si>
  <si>
    <t>Площадь бетонной подготовки</t>
  </si>
  <si>
    <t>Fб.п</t>
  </si>
  <si>
    <t>Съезд (пандус): один, двусторонний проезд</t>
  </si>
  <si>
    <t>Ширина съезда</t>
  </si>
  <si>
    <t>bп</t>
  </si>
  <si>
    <t>методичка: 6 м — двусторонний; лекция: один съезд — 6 м</t>
  </si>
  <si>
    <t>Уклон съезда</t>
  </si>
  <si>
    <t>i</t>
  </si>
  <si>
    <t>методичка 0,10–0,15; лекция m' = 8…15</t>
  </si>
  <si>
    <t>Коэффициент заложения съезда</t>
  </si>
  <si>
    <t>m'</t>
  </si>
  <si>
    <t>m' = 1 / i</t>
  </si>
  <si>
    <t>Длина съезда в плане (от низа откоса)</t>
  </si>
  <si>
    <t>Объём съезда сверх откоса котлована</t>
  </si>
  <si>
    <t>Vс</t>
  </si>
  <si>
    <t>м³</t>
  </si>
  <si>
    <t>лекция: hк²/6·(3bп + 2m·hк·(m' − m)/m')·(m' − m)</t>
  </si>
  <si>
    <t>Объёмы</t>
  </si>
  <si>
    <t>Котлован без пандуса</t>
  </si>
  <si>
    <t>hк/3·(Fк.н + Fк.в + √(Fк.н·Fк.в))</t>
  </si>
  <si>
    <t>Объём котлована со съездом</t>
  </si>
  <si>
    <t>Vк</t>
  </si>
  <si>
    <t>Подсыпка</t>
  </si>
  <si>
    <t>Vподс</t>
  </si>
  <si>
    <t>Fк.н · hподс</t>
  </si>
  <si>
    <t>Бетонная подготовка</t>
  </si>
  <si>
    <t>Vб.п</t>
  </si>
  <si>
    <t>Fб.п · hб.п</t>
  </si>
  <si>
    <t>Гидроизоляция</t>
  </si>
  <si>
    <t>Vг.и</t>
  </si>
  <si>
    <t>2 слоя рулонной, толщина в задании не дана</t>
  </si>
  <si>
    <t>Защитная стяжка</t>
  </si>
  <si>
    <t>Vст</t>
  </si>
  <si>
    <t>в задании нет</t>
  </si>
  <si>
    <t>Фундаментная плита</t>
  </si>
  <si>
    <t>Vф.п</t>
  </si>
  <si>
    <t>Fф.п · Нф.п</t>
  </si>
  <si>
    <t>Высота стен ниже естественной поверхности</t>
  </si>
  <si>
    <t>Нп − |hгр| − hр.сл − hр = hк − Нф.п − hб.п − hподс</t>
  </si>
  <si>
    <t>Стены подвала по наружному контуру</t>
  </si>
  <si>
    <t>Vк.с.п</t>
  </si>
  <si>
    <t>Подземная часть здания</t>
  </si>
  <si>
    <t>Vп.ч</t>
  </si>
  <si>
    <t>Vф.п + Vк.с.п</t>
  </si>
  <si>
    <t>Засыпка пазух — привозной песок</t>
  </si>
  <si>
    <t>Vп.с</t>
  </si>
  <si>
    <t>котлован без съезда − Vп.ч − Vподс − Vб.п − Vг.и − Vст</t>
  </si>
  <si>
    <t>Засыпка съезда — привозной песок</t>
  </si>
  <si>
    <t>Обратная засыпка всего</t>
  </si>
  <si>
    <t>Vо.з</t>
  </si>
  <si>
    <t>Vк − Vп.ч − Vподс − Vб.п − Vг.и − Vст (с. 14)</t>
  </si>
  <si>
    <t>Рабочие отметки по углам котлована (бровка при Нк), билинейная интерполяция в квадрате 8</t>
  </si>
  <si>
    <t>Угол</t>
  </si>
  <si>
    <t>x отн. осей</t>
  </si>
  <si>
    <t>y отн. осей</t>
  </si>
  <si>
    <t>X, м</t>
  </si>
  <si>
    <t>Y, м</t>
  </si>
  <si>
    <t>u</t>
  </si>
  <si>
    <t>v</t>
  </si>
  <si>
    <t>Вершины квадрата 8: h15 — левый нижний, h16 — правый нижний, h9 — левый верхний, h10 — правый верхний.</t>
  </si>
  <si>
    <t>Сводная ведомость объёмов разрабатываемого грунта (табл. 2)</t>
  </si>
  <si>
    <t>По черновику — до корректировки средней отметки планировки</t>
  </si>
  <si>
    <t>Вид работы</t>
  </si>
  <si>
    <t>Выемка Vв, м³</t>
  </si>
  <si>
    <t>Насыпь Vн, м³</t>
  </si>
  <si>
    <t>Vн / Kор, м³</t>
  </si>
  <si>
    <t>В призмах (планировка с откосами)</t>
  </si>
  <si>
    <t>В котловане (Vк; засыпка грунтом площадки ΣVн котл = 0 — супесь не песок, пазухи и съезд — привозной песок)</t>
  </si>
  <si>
    <t>Суммарные объёмы</t>
  </si>
  <si>
    <t>Баланс Vв − Vн/Kор («−» — грунта не хватает)</t>
  </si>
  <si>
    <t>Расхождение, % (методичка - не более 5 %, лекция 23.10 - до 10 %)</t>
  </si>
  <si>
    <t>Вывод</t>
  </si>
  <si>
    <t>Площадь строительной площадки F = 300 × 500, м²</t>
  </si>
  <si>
    <t>Поправка Δh = (Vв − Vн/Kор) · Kор / F, м (лекция 23.10; «−» — понижение)</t>
  </si>
  <si>
    <t>Δh, принятое (до 0,0001 м)</t>
  </si>
  <si>
    <t>Окончательные рабочие отметки: h' = h + Δh (п. 2.2.3 методички)</t>
  </si>
  <si>
    <t>Поправка Δh, м</t>
  </si>
  <si>
    <t>Δh, м</t>
  </si>
  <si>
    <t>h' = h + Δh, м</t>
  </si>
  <si>
    <t>Схема сетки (вид в плане)</t>
  </si>
  <si>
    <t>Объёмы планировочных работ по окончательным отметкам</t>
  </si>
  <si>
    <t>Котлован по окончательным отметкам (котлован в насыпи — пересчёт)</t>
  </si>
  <si>
    <t>По окончательным отметкам — после поправки Δh</t>
  </si>
  <si>
    <t>Баланс земляных работ по котловану (табл. 3; форма - с доски), по окончательным отметкам</t>
  </si>
  <si>
    <t>Грунт площадки - супесь, не песок: пазухи и съезд засыпаются привозным песком, ΣVн местного грунта = 0 (лекция 23.10), отвала у котлована нет; весь грунт котлована - в транспортные средства: в насыпь планировки, излишек - на вывоз (с. 16).</t>
  </si>
  <si>
    <t>Выемка</t>
  </si>
  <si>
    <t>Насыпь</t>
  </si>
  <si>
    <t>№ п/п</t>
  </si>
  <si>
    <t>Место разработки грунта</t>
  </si>
  <si>
    <t>Объём разработки грунта, м³ (плотное тело)</t>
  </si>
  <si>
    <t>Место укладки грунта и его объём, м³ (с kр)</t>
  </si>
  <si>
    <t>Место устройства насыпи</t>
  </si>
  <si>
    <t>Геометрический объём насыпи, м³</t>
  </si>
  <si>
    <t>Потребный объём грунта V / kо.р, м³</t>
  </si>
  <si>
    <t>Котлован</t>
  </si>
  <si>
    <t>Отвал (не требуется)</t>
  </si>
  <si>
    <t>Пазухи сооружения - песок из карьера</t>
  </si>
  <si>
    <t>Съезд</t>
  </si>
  <si>
    <t>Транспортные средства</t>
  </si>
  <si>
    <t>Съезд - песок из карьера</t>
  </si>
  <si>
    <t>ΣVв</t>
  </si>
  <si>
    <t>Σ (с kр)</t>
  </si>
  <si>
    <t>ΣVн местного грунта (засыпка - привозной песок)</t>
  </si>
  <si>
    <t>Объём грунта в отвал: ΣVн · kр, м³</t>
  </si>
  <si>
    <t>В транспортные средства: (ΣVв − ΣVн) · kр, м³</t>
  </si>
  <si>
    <t xml:space="preserve">   из них в насыпь планировки (табл. 4), с kр, м³</t>
  </si>
  <si>
    <t xml:space="preserve">   вывоз (лишний грунт), с kр, м³</t>
  </si>
  <si>
    <t>Привозится из карьера: песок для засыпки пазух, плотное тело / с kр, м³</t>
  </si>
  <si>
    <t>Привозится из карьера: песок для засыпки съезда, плотное тело / с kр, м³</t>
  </si>
  <si>
    <t>Привозится из карьера: щебень для подсыпки Vподс / kо.р, м³</t>
  </si>
  <si>
    <t>Проверка: отвал + транспорт − ΣVв · kр (должно быть 0)</t>
  </si>
  <si>
    <t>Баланс распределения земляных масс (табл. 4 методички): из выемок и котлована в насыпь, м³</t>
  </si>
  <si>
    <t>Минимум моментов V·l (l - между центрами тяжести фигур): сначала выемки (ЗТМ), затем котлован (самосвалы); остаток - недостача, подвоз из карьера. Выемка - плотное тело, насыпь - Vн / kо.р.</t>
  </si>
  <si>
    <t>Недостача</t>
  </si>
  <si>
    <t>Объём</t>
  </si>
  <si>
    <t>Насыпь №</t>
  </si>
  <si>
    <t>Проверка: Σ по строке − объём</t>
  </si>
  <si>
    <t>Проверка: Σ по столбцу − объём</t>
  </si>
  <si>
    <t>Средняя дальность перемещения грунта скрепером (бульдозером): выемка — насыпь (табл. 5)</t>
  </si>
  <si>
    <t>№ фигур</t>
  </si>
  <si>
    <t>x, м</t>
  </si>
  <si>
    <t>y, м</t>
  </si>
  <si>
    <t>Mx = x·V</t>
  </si>
  <si>
    <t>My = y·V</t>
  </si>
  <si>
    <t>Центр тяжести «Выемка»: Lx = ΣMx / ΣV, м</t>
  </si>
  <si>
    <t>Центр тяжести «Выемка»: Ly = ΣMy / ΣV, м</t>
  </si>
  <si>
    <t>Центр тяжести «Насыпь»: Lx, м</t>
  </si>
  <si>
    <t>Центр тяжести «Насыпь»: Ly, м</t>
  </si>
  <si>
    <t>Средняя дальность Lср = √((Lxв − Lxн)² + (Lyв − Lyн)²), м</t>
  </si>
  <si>
    <t>Средняя дальность перемещения грунта автосамосвалом: котлован — насыпь (табл. 6)</t>
  </si>
  <si>
    <t>котлован</t>
  </si>
  <si>
    <t>Центр тяжести «Котлован»: Lx = ΣMx / ΣV, м</t>
  </si>
  <si>
    <t>Центр тяжести «Котлован»: Ly = ΣMy / ΣV, м</t>
  </si>
  <si>
    <t>Назначение комплекта машин (п. 2.3 методички): грунт и нормы времени ЕНиР Е2-1</t>
  </si>
  <si>
    <t>Наименование и краткая характеристика грунта</t>
  </si>
  <si>
    <t>Супесь без примесей (ЕНиР Е2-1, техчасть, табл. 1, п. 22)</t>
  </si>
  <si>
    <t>Группа грунта в зависимости от трудности разработки</t>
  </si>
  <si>
    <t>одноковшовые экскаваторы — I; скреперы — II; бульдозеры — II</t>
  </si>
  <si>
    <t>Средняя плотность в естественном залегании, кг/м³</t>
  </si>
  <si>
    <t>Машина</t>
  </si>
  <si>
    <t>Марка</t>
  </si>
  <si>
    <t>Обоснование (ЕНиР Е2-1)</t>
  </si>
  <si>
    <t>Нвр, маш.-ч на 100 м³</t>
  </si>
  <si>
    <t>Добавлять на каждые следующие 10 м</t>
  </si>
  <si>
    <t>Нвр дана до, м</t>
  </si>
  <si>
    <t>Условия</t>
  </si>
  <si>
    <t>Бульдозер (ведущая, вариант 1)</t>
  </si>
  <si>
    <t>ДЗ-34С (Д-572С), трактор ДЭТ-250</t>
  </si>
  <si>
    <t>Е2-1-22, табл. 2, № 9б, 9д</t>
  </si>
  <si>
    <t>тяжёлый (прил. 4); грунт II группы</t>
  </si>
  <si>
    <t>Скрепер прицепной (ведущая, вариант 2)</t>
  </si>
  <si>
    <t>ДЗ-20 (Д-498), ковш 6,7 м3, трактор Т-100</t>
  </si>
  <si>
    <t>Е2-1-21, табл. 2, № 2б, 2г</t>
  </si>
  <si>
    <t>ковш 6 м3 - 100-350 м (прил. 5); грунт II группы</t>
  </si>
  <si>
    <t>Трактор-рыхлитель</t>
  </si>
  <si>
    <t>ДП-22С на бульдозере ДЗ-35С, трактор Т-180</t>
  </si>
  <si>
    <t>Е2-1-1, табл. 2, № 3в</t>
  </si>
  <si>
    <t>рыхление слоями 0,35 м, участок св. 200 м</t>
  </si>
  <si>
    <t>Бульдозер (разравнивание)</t>
  </si>
  <si>
    <t>ДЗ-35С (Д-575С), трактор Т-180</t>
  </si>
  <si>
    <t>Е2-1-28, № 6д</t>
  </si>
  <si>
    <t>разравнивание слоями до 0,6 м (отсыпка скрепером 0,35 м)</t>
  </si>
  <si>
    <t>Каток</t>
  </si>
  <si>
    <t>ДУ-16В (Д-551В), на пневматических шинах</t>
  </si>
  <si>
    <t>Е2-1-29, табл. 4, № 2в</t>
  </si>
  <si>
    <t>слой 0,2-0,35 м, 4 прохода по следу, гон св. 200 м</t>
  </si>
  <si>
    <t>Трактор-толкач</t>
  </si>
  <si>
    <t>Т-180</t>
  </si>
  <si>
    <t>Е2-1-21, примеч. 2: Нвр скрепера / число скреперов</t>
  </si>
  <si>
    <t>Нвр скрепера / k</t>
  </si>
  <si>
    <t>3 скрепера на толкач (прил. 5)</t>
  </si>
  <si>
    <t>Добавка на расстояние сверх указанного в норме - пропорционально: Нвр = Нвр.до + добавка · (Lср − L) / 10. Толкач: Нвр скрепера, делённая на число обслуживаемых скреперов (Е2-1-21, примеч. 2; прил. 5).</t>
  </si>
  <si>
    <t>Варианты с различными ведущими машинами (табл. 7 методички), вертикальная планировка</t>
  </si>
  <si>
    <t>Vдн = 100·N·8 / Нвр;  Mсм = Нвр·V / (100·8);  nвед = Mсм / (m·t);  n = nвед·Vдн.вед / Vдн.об (с. 25-27; Нвр - на 100 м³). Ведущая машина и толкач - V с kр, рыхлитель - V в плотном теле.</t>
  </si>
  <si>
    <t>Средняя дальность перемещения грунта Lср (табл. 5), м</t>
  </si>
  <si>
    <t>Грунт выемок в насыпь (табл. 4), в плотном теле V, м³</t>
  </si>
  <si>
    <t>То же с коэффициентом первоначального разрыхления V·kр, м³</t>
  </si>
  <si>
    <t>Объём насыпи - разравнивание и уплотнение Vн, м³</t>
  </si>
  <si>
    <t>Число смен в сутках m (N), по 8 ч</t>
  </si>
  <si>
    <t>Срок планировочных работ t, дн. (5-20, для обоих вариантов)</t>
  </si>
  <si>
    <t>Скреперов на один трактор-толкач (прил. 5)</t>
  </si>
  <si>
    <t>Вариант 1</t>
  </si>
  <si>
    <t>Вариант 2</t>
  </si>
  <si>
    <t>Ведущая машина — бульдозер</t>
  </si>
  <si>
    <t>Ведущая машина — скрепер</t>
  </si>
  <si>
    <t>объём с коэффициентом первоначального разрыхления</t>
  </si>
  <si>
    <t>Нвр вед, маш.-ч</t>
  </si>
  <si>
    <t>Mсм вед, маш.-см</t>
  </si>
  <si>
    <t>Vдн вед, м³/дн</t>
  </si>
  <si>
    <t>n, шт.</t>
  </si>
  <si>
    <t>Обеспечивающие машины</t>
  </si>
  <si>
    <t>объём в плотном теле</t>
  </si>
  <si>
    <t>Нвр об, маш.-ч</t>
  </si>
  <si>
    <t>Mсм об, маш.-см</t>
  </si>
  <si>
    <t>Vдн об, м³/дн</t>
  </si>
  <si>
    <t>Бульдозер</t>
  </si>
  <si>
    <t>Mсм вед + ΣMсм об, маш.-см</t>
  </si>
  <si>
    <t>V / (Mсм вед + ΣMсм об), м³/маш.-см</t>
  </si>
  <si>
    <t>(Mсм вед + ΣMсм об) / V, маш.-см/м³</t>
  </si>
  <si>
    <t>Продолжительность работ ведущими машинами, дн.</t>
  </si>
  <si>
    <t>Машины для разработки грунта в котловане (п. 2.3.2): экскаватор и автосамосвалы</t>
  </si>
  <si>
    <t>Объём котлована Vк, м³</t>
  </si>
  <si>
    <t>Глубина котлована hк, м</t>
  </si>
  <si>
    <t>Число смен в сутках m</t>
  </si>
  <si>
    <t>Экскаватор (обратная лопата)</t>
  </si>
  <si>
    <t>Привод</t>
  </si>
  <si>
    <t>Ковш q, м³</t>
  </si>
  <si>
    <t>Нвр, маш.-ч на 100 м³ (I гр., с погрузкой)</t>
  </si>
  <si>
    <t>Псм = 100·8 / Нвр, м³/смену</t>
  </si>
  <si>
    <t>Hк max для котлованов, м</t>
  </si>
  <si>
    <t>Rmax, м</t>
  </si>
  <si>
    <t>Высота выгрузки, м</t>
  </si>
  <si>
    <t>Недобор (прил. 7), см</t>
  </si>
  <si>
    <t>Э-505</t>
  </si>
  <si>
    <t>механический</t>
  </si>
  <si>
    <t>Е2-1-11, табл. 3, № 4а</t>
  </si>
  <si>
    <t>Э-652</t>
  </si>
  <si>
    <t>Е2-1-11, табл. 3, № 5а</t>
  </si>
  <si>
    <t>ЭО-4121А</t>
  </si>
  <si>
    <t>гидравлический</t>
  </si>
  <si>
    <t>Е2-1-11, табл. 7, № 4а</t>
  </si>
  <si>
    <t>Прил. 6: ёмкость ковша по объёму сооружения</t>
  </si>
  <si>
    <t>Принят экскаватор - наибольшая производительность</t>
  </si>
  <si>
    <t>Ковш, м³</t>
  </si>
  <si>
    <t>Vк от, м³</t>
  </si>
  <si>
    <t>Vк до, м³</t>
  </si>
  <si>
    <t>Подходит</t>
  </si>
  <si>
    <t>0,15</t>
  </si>
  <si>
    <t>0,25 и 0,30</t>
  </si>
  <si>
    <t>Недобор, м</t>
  </si>
  <si>
    <t>0,5</t>
  </si>
  <si>
    <t>Глубина копания экскаватором hк − недобор, м</t>
  </si>
  <si>
    <t>0,65</t>
  </si>
  <si>
    <t>Проверка: Hк max не меньше глубины копания</t>
  </si>
  <si>
    <t>0,8</t>
  </si>
  <si>
    <t>Mсм = Нвр·Vк / (100·8), маш.-см</t>
  </si>
  <si>
    <t>Продолжительность одним экскаватором Mсм / m, дн.</t>
  </si>
  <si>
    <t>1,25</t>
  </si>
  <si>
    <t>1,50 и более</t>
  </si>
  <si>
    <t>Автосамосвалы (с. 28-29, прил. 8)</t>
  </si>
  <si>
    <t>Коэффициент наполнения ковша kнап (табл. 8: 0,8-1,0)</t>
  </si>
  <si>
    <t>Плотность грунта γ, т/м³</t>
  </si>
  <si>
    <t>Грунт в ковше в плотном теле Vгр.к = q·kнап / kр, м³</t>
  </si>
  <si>
    <t>Масса грунта в ковше Mковша = Vгр.к·γ, т</t>
  </si>
  <si>
    <t>Дальность транспортирования L, км (до карьера, отвала)</t>
  </si>
  <si>
    <t>Установка под погрузку Ту.п, мин</t>
  </si>
  <si>
    <t>Установка под разгрузку Ту.р, мин</t>
  </si>
  <si>
    <t>Разгрузка Тр, мин</t>
  </si>
  <si>
    <t>Маневрирование Тм, мин</t>
  </si>
  <si>
    <t>Модель</t>
  </si>
  <si>
    <t>Va, м³</t>
  </si>
  <si>
    <t>Па, т</t>
  </si>
  <si>
    <t>Погрузочная высота, м</t>
  </si>
  <si>
    <t>Uгр, км/ч</t>
  </si>
  <si>
    <t>Uпор, км/ч</t>
  </si>
  <si>
    <t>Па / Mковша</t>
  </si>
  <si>
    <t>Va / q</t>
  </si>
  <si>
    <t>n (целое меньшее)</t>
  </si>
  <si>
    <t>6 ≤ n ≤ 11</t>
  </si>
  <si>
    <t>Va пл = n·Vгр.к, м³</t>
  </si>
  <si>
    <t>Тп = Va пл·Нвр / 100 · 60, мин</t>
  </si>
  <si>
    <t>Тпр гр = L / Uгр · 60, мин</t>
  </si>
  <si>
    <t>Тпр пор = L / Uпор · 60, мин</t>
  </si>
  <si>
    <t>Тцикла, мин</t>
  </si>
  <si>
    <t>Тцикла / Тп</t>
  </si>
  <si>
    <t>N, шт.</t>
  </si>
  <si>
    <t>Va р = q·kнап·n, м³</t>
  </si>
  <si>
    <t>Нвр а = Тцикла / (Va р·60), маш.-ч/м³</t>
  </si>
  <si>
    <t>Нвр а подходящих</t>
  </si>
  <si>
    <t>ГАЗ-САЗ-35072</t>
  </si>
  <si>
    <t>ГАЗ-САЗ-35072-10</t>
  </si>
  <si>
    <t>ЗИЛ-ММЗ-45085</t>
  </si>
  <si>
    <t>МАЗ-555102-220</t>
  </si>
  <si>
    <t>МАЗ-555130-2120</t>
  </si>
  <si>
    <t>МАЗ-555402-220</t>
  </si>
  <si>
    <t>МАЗ-551603-2121</t>
  </si>
  <si>
    <t>МАЗ-551605-2125</t>
  </si>
  <si>
    <t>КамАЗ-6520</t>
  </si>
  <si>
    <t>КамАЗ-6540</t>
  </si>
  <si>
    <t>КамАЗ-55111</t>
  </si>
  <si>
    <t>КамАЗ-65115</t>
  </si>
  <si>
    <t>КамАЗ-53605</t>
  </si>
  <si>
    <t>КрАЗ-65032</t>
  </si>
  <si>
    <t>КрАЗ-65055</t>
  </si>
  <si>
    <t>КрАЗ-6510</t>
  </si>
  <si>
    <t>КрАЗ-7133С4</t>
  </si>
  <si>
    <t>КрАЗ-6130С4</t>
  </si>
  <si>
    <t>Принят автосамосвал - наименьшая Нвр а из подходящих</t>
  </si>
  <si>
    <t>Ковшей в кузове n</t>
  </si>
  <si>
    <t>Количество автосамосвалов N ≥ Тцикла / Тп, шт.</t>
  </si>
  <si>
    <t>Нвр а, маш.-ч/м³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</si>
</sst>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4"/>
      <name val="GOST type B"/>
    </font>
    <font>
      <sz val="12"/>
      <name val="GOST type B"/>
    </font>
    <font>
      <sz val="12"/>
      <color rgb="FF0000FF"/>
      <name val="GOST type B"/>
    </font>
    <font>
      <i/>
      <sz val="11"/>
      <name val="GOST type B"/>
    </font>
    <font>
      <b/>
      <sz val="12"/>
      <name val="GOST type B"/>
    </font>
    <font>
      <sz val="9"/>
      <color rgb="FF808080"/>
      <name val="GOST type B"/>
    </font>
    <font>
      <i/>
      <sz val="12"/>
      <name val="GOST type B"/>
    </font>
    <font>
      <sz val="12"/>
      <color rgb="FF008000"/>
      <name val="GOST type B"/>
    </font>
    <font>
      <i/>
      <sz val="10"/>
      <name val="GOST type B"/>
    </font>
    <font>
      <u/>
      <sz val="12"/>
      <color rgb="FF0000FF"/>
      <name val="GOST type B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2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2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2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0"/>
  <sheetViews>
    <sheetView tabSelected="1" zoomScale="110" workbookViewId="0"/>
  </sheetViews>
  <sheetFormatPr defaultRowHeight="14.4" x14ac:dyDescent="0.3"/>
  <cols>
    <col min="1" max="1" width="5" customWidth="1"/>
    <col min="2" max="2" width="30" customWidth="1"/>
    <col min="3" max="3" width="80" customWidth="1"/>
  </cols>
  <sheetData>
    <row r="1" spans="1:3" ht="17.399999999999999" x14ac:dyDescent="0.3">
      <c r="A1" s="1" t="s">
        <v>0</v>
      </c>
    </row>
    <row r="3" spans="1:3" ht="15.6" x14ac:dyDescent="0.3">
      <c r="A3" s="2" t="s">
        <v>1</v>
      </c>
      <c r="B3" s="2" t="s">
        <v>2</v>
      </c>
      <c r="C3" s="2" t="s">
        <v>3</v>
      </c>
    </row>
    <row r="4" spans="1:3" ht="15.6" x14ac:dyDescent="0.3">
      <c r="A4" s="3">
        <v>1</v>
      </c>
      <c r="B4" s="4" t="s">
        <v>4</v>
      </c>
      <c r="C4" s="5" t="s">
        <v>5</v>
      </c>
    </row>
    <row r="5" spans="1:3" ht="15.6" x14ac:dyDescent="0.3">
      <c r="A5" s="3">
        <v>2</v>
      </c>
      <c r="B5" s="4" t="s">
        <v>6</v>
      </c>
      <c r="C5" s="5" t="s">
        <v>7</v>
      </c>
    </row>
    <row r="6" spans="1:3" ht="15.6" x14ac:dyDescent="0.3">
      <c r="A6" s="3">
        <v>3</v>
      </c>
      <c r="B6" s="4" t="s">
        <v>8</v>
      </c>
      <c r="C6" s="5" t="s">
        <v>9</v>
      </c>
    </row>
    <row r="7" spans="1:3" ht="15.6" x14ac:dyDescent="0.3">
      <c r="A7" s="3">
        <v>4</v>
      </c>
      <c r="B7" s="4" t="s">
        <v>10</v>
      </c>
      <c r="C7" s="5" t="s">
        <v>11</v>
      </c>
    </row>
    <row r="8" spans="1:3" ht="15.6" x14ac:dyDescent="0.3">
      <c r="A8" s="3">
        <v>5</v>
      </c>
      <c r="B8" s="4" t="s">
        <v>12</v>
      </c>
      <c r="C8" s="5" t="s">
        <v>13</v>
      </c>
    </row>
    <row r="9" spans="1:3" ht="15.6" x14ac:dyDescent="0.3">
      <c r="A9" s="3">
        <v>6</v>
      </c>
      <c r="B9" s="4" t="s">
        <v>14</v>
      </c>
      <c r="C9" s="5" t="s">
        <v>15</v>
      </c>
    </row>
    <row r="10" spans="1:3" ht="15.6" x14ac:dyDescent="0.3">
      <c r="A10" s="3">
        <v>7</v>
      </c>
      <c r="B10" s="4" t="s">
        <v>16</v>
      </c>
      <c r="C10" s="5" t="s">
        <v>17</v>
      </c>
    </row>
    <row r="11" spans="1:3" ht="31.2" x14ac:dyDescent="0.3">
      <c r="A11" s="3">
        <v>8</v>
      </c>
      <c r="B11" s="4" t="s">
        <v>18</v>
      </c>
      <c r="C11" s="5" t="s">
        <v>19</v>
      </c>
    </row>
    <row r="12" spans="1:3" ht="15.6" x14ac:dyDescent="0.3">
      <c r="A12" s="3">
        <v>9</v>
      </c>
      <c r="B12" s="4" t="s">
        <v>20</v>
      </c>
      <c r="C12" s="5" t="s">
        <v>21</v>
      </c>
    </row>
    <row r="13" spans="1:3" ht="15.6" x14ac:dyDescent="0.3">
      <c r="A13" s="3">
        <v>10</v>
      </c>
      <c r="B13" s="4" t="s">
        <v>22</v>
      </c>
      <c r="C13" s="5" t="s">
        <v>23</v>
      </c>
    </row>
    <row r="14" spans="1:3" ht="15.6" x14ac:dyDescent="0.3">
      <c r="A14" s="3">
        <v>11</v>
      </c>
      <c r="B14" s="4" t="s">
        <v>24</v>
      </c>
      <c r="C14" s="5" t="s">
        <v>25</v>
      </c>
    </row>
    <row r="15" spans="1:3" ht="15.6" x14ac:dyDescent="0.3">
      <c r="A15" s="3">
        <v>12</v>
      </c>
      <c r="B15" s="4" t="s">
        <v>26</v>
      </c>
      <c r="C15" s="5" t="s">
        <v>27</v>
      </c>
    </row>
    <row r="16" spans="1:3" ht="15.6" x14ac:dyDescent="0.3">
      <c r="A16" s="3">
        <v>13</v>
      </c>
      <c r="B16" s="4" t="s">
        <v>28</v>
      </c>
      <c r="C16" s="5" t="s">
        <v>29</v>
      </c>
    </row>
    <row r="17" spans="1:3" ht="15.6" x14ac:dyDescent="0.3">
      <c r="A17" s="3">
        <v>14</v>
      </c>
      <c r="B17" s="4" t="s">
        <v>30</v>
      </c>
      <c r="C17" s="5" t="s">
        <v>31</v>
      </c>
    </row>
    <row r="18" spans="1:3" ht="15.6" x14ac:dyDescent="0.3">
      <c r="A18" s="3">
        <v>15</v>
      </c>
      <c r="B18" s="4" t="s">
        <v>32</v>
      </c>
      <c r="C18" s="5" t="s">
        <v>33</v>
      </c>
    </row>
    <row r="19" spans="1:3" ht="15.6" x14ac:dyDescent="0.3">
      <c r="A19" s="3">
        <v>16</v>
      </c>
      <c r="B19" s="4" t="s">
        <v>34</v>
      </c>
      <c r="C19" s="5" t="s">
        <v>35</v>
      </c>
    </row>
    <row r="20" spans="1:3" ht="15.6" x14ac:dyDescent="0.3">
      <c r="A20" s="3">
        <v>17</v>
      </c>
      <c r="B20" s="4" t="s">
        <v>36</v>
      </c>
      <c r="C20" s="5" t="s">
        <v>37</v>
      </c>
    </row>
  </sheetData>
  <hyperlinks>
    <hyperlink ref="B4" location="'Исходные данные'!A1" display="Исходные данные" xr:uid="{00000000-0004-0000-0000-000000000000}"/>
    <hyperlink ref="B5" location="'ЛНР (черн.)'!A1" display="ЛНР (черн.)" xr:uid="{00000000-0004-0000-0000-000001000000}"/>
    <hyperlink ref="B6" location="'Табл. 1 объёмы (черн.)'!A1" display="Табл. 1 объёмы (черн.)" xr:uid="{00000000-0004-0000-0000-000002000000}"/>
    <hyperlink ref="B7" location="'Котлован (черн.)'!A1" display="Котлован (черн.)" xr:uid="{00000000-0004-0000-0000-000003000000}"/>
    <hyperlink ref="B8" location="'Табл. 2 баланс (черн.)'!A1" display="Табл. 2 баланс (черн.)" xr:uid="{00000000-0004-0000-0000-000004000000}"/>
    <hyperlink ref="B9" location="'Отметки (оконч.)'!A1" display="Отметки (оконч.)" xr:uid="{00000000-0004-0000-0000-000005000000}"/>
    <hyperlink ref="B10" location="'ЛНР (оконч.)'!A1" display="ЛНР (оконч.)" xr:uid="{00000000-0004-0000-0000-000006000000}"/>
    <hyperlink ref="B11" location="'Табл. 1 объёмы (оконч.)'!A1" display="Табл. 1 объёмы (оконч.)" xr:uid="{00000000-0004-0000-0000-000007000000}"/>
    <hyperlink ref="B12" location="'Котлован (оконч.)'!A1" display="Котлован (оконч.)" xr:uid="{00000000-0004-0000-0000-000008000000}"/>
    <hyperlink ref="B13" location="'Табл. 2 баланс (оконч.)'!A1" display="Табл. 2 баланс (оконч.)" xr:uid="{00000000-0004-0000-0000-000009000000}"/>
    <hyperlink ref="B14" location="'Табл. 3 котлован'!A1" display="Табл. 3 котлован" xr:uid="{00000000-0004-0000-0000-00000A000000}"/>
    <hyperlink ref="B15" location="'Табл. 4 распределение'!A1" display="Табл. 4 распределение" xr:uid="{00000000-0004-0000-0000-00000B000000}"/>
    <hyperlink ref="B16" location="'Табл. 5 скрепер'!A1" display="Табл. 5 скрепер" xr:uid="{00000000-0004-0000-0000-00000C000000}"/>
    <hyperlink ref="B17" location="'Табл. 6 самосвал'!A1" display="Табл. 6 самосвал" xr:uid="{00000000-0004-0000-0000-00000D000000}"/>
    <hyperlink ref="B18" location="'2.3 Грунт и нормы ЕНиР'!A1" display="2.3 Грунт и нормы ЕНиР" xr:uid="{00000000-0004-0000-0000-00000E000000}"/>
    <hyperlink ref="B19" location="'Табл. 7 варианты'!A1" display="Табл. 7 варианты" xr:uid="{00000000-0004-0000-0000-00000F000000}"/>
    <hyperlink ref="B20" location="'2.3.2 Экскаватор, самосвалы'!A1" display="2.3.2 Экскаватор, самосвалы" xr:uid="{00000000-0004-0000-0000-000010000000}"/>
  </hyperlink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zoomScale="110" workbookViewId="0"/>
  </sheetViews>
  <sheetFormatPr defaultRowHeight="14.4" x14ac:dyDescent="0.3"/>
  <cols>
    <col min="1" max="1" width="44" customWidth="1"/>
    <col min="2" max="2" width="10" customWidth="1"/>
    <col min="4" max="9" width="9" customWidth="1"/>
  </cols>
  <sheetData>
    <row r="1" spans="1:9" ht="17.399999999999999" x14ac:dyDescent="0.3">
      <c r="A1" s="1" t="s">
        <v>38</v>
      </c>
    </row>
    <row r="3" spans="1:9" ht="15.6" x14ac:dyDescent="0.3">
      <c r="A3" s="5" t="s">
        <v>39</v>
      </c>
      <c r="B3" s="6">
        <v>100</v>
      </c>
      <c r="D3" s="7" t="s">
        <v>40</v>
      </c>
    </row>
    <row r="4" spans="1:9" ht="31.2" x14ac:dyDescent="0.3">
      <c r="A4" s="5" t="s">
        <v>41</v>
      </c>
      <c r="B4" s="8">
        <v>1.04</v>
      </c>
      <c r="D4" s="7" t="s">
        <v>42</v>
      </c>
    </row>
    <row r="5" spans="1:9" ht="15.6" x14ac:dyDescent="0.3">
      <c r="A5" s="5" t="s">
        <v>43</v>
      </c>
      <c r="B5" s="6" t="s">
        <v>44</v>
      </c>
      <c r="D5" s="7" t="s">
        <v>45</v>
      </c>
    </row>
    <row r="6" spans="1:9" ht="15.6" x14ac:dyDescent="0.3">
      <c r="A6" s="5" t="s">
        <v>46</v>
      </c>
      <c r="B6" s="6">
        <v>15</v>
      </c>
    </row>
    <row r="7" spans="1:9" ht="31.2" x14ac:dyDescent="0.3">
      <c r="A7" s="5" t="s">
        <v>47</v>
      </c>
      <c r="B7" s="8">
        <v>1.1499999999999999</v>
      </c>
    </row>
    <row r="8" spans="1:9" ht="15.6" x14ac:dyDescent="0.3">
      <c r="A8" s="2" t="s">
        <v>48</v>
      </c>
      <c r="B8" s="2" t="s">
        <v>49</v>
      </c>
      <c r="D8" s="9" t="s">
        <v>50</v>
      </c>
    </row>
    <row r="9" spans="1:9" ht="15.6" x14ac:dyDescent="0.3">
      <c r="A9" s="3" t="s">
        <v>51</v>
      </c>
      <c r="B9" s="10">
        <v>-0.25</v>
      </c>
      <c r="D9" s="11" t="s">
        <v>51</v>
      </c>
      <c r="E9" s="11" t="s">
        <v>52</v>
      </c>
      <c r="F9" s="11" t="s">
        <v>53</v>
      </c>
      <c r="G9" s="11" t="s">
        <v>54</v>
      </c>
      <c r="H9" s="11" t="s">
        <v>55</v>
      </c>
      <c r="I9" s="11" t="s">
        <v>56</v>
      </c>
    </row>
    <row r="10" spans="1:9" ht="15.6" x14ac:dyDescent="0.3">
      <c r="A10" s="3" t="s">
        <v>52</v>
      </c>
      <c r="B10" s="10">
        <v>0.15</v>
      </c>
      <c r="D10" s="12">
        <f>B9</f>
        <v>-0.25</v>
      </c>
      <c r="E10" s="12">
        <f>B10</f>
        <v>0.15</v>
      </c>
      <c r="F10" s="12">
        <f>B11</f>
        <v>0.34</v>
      </c>
      <c r="G10" s="12">
        <f>B12</f>
        <v>0.47</v>
      </c>
      <c r="H10" s="12">
        <f>B13</f>
        <v>0.66</v>
      </c>
      <c r="I10" s="12">
        <f>B14</f>
        <v>0.85</v>
      </c>
    </row>
    <row r="11" spans="1:9" ht="15.6" x14ac:dyDescent="0.3">
      <c r="A11" s="3" t="s">
        <v>53</v>
      </c>
      <c r="B11" s="10">
        <v>0.34</v>
      </c>
      <c r="D11" s="11" t="s">
        <v>57</v>
      </c>
      <c r="E11" s="11" t="s">
        <v>58</v>
      </c>
      <c r="F11" s="11" t="s">
        <v>59</v>
      </c>
      <c r="G11" s="11" t="s">
        <v>60</v>
      </c>
      <c r="H11" s="11" t="s">
        <v>61</v>
      </c>
      <c r="I11" s="11" t="s">
        <v>62</v>
      </c>
    </row>
    <row r="12" spans="1:9" ht="15.6" x14ac:dyDescent="0.3">
      <c r="A12" s="3" t="s">
        <v>54</v>
      </c>
      <c r="B12" s="10">
        <v>0.47</v>
      </c>
      <c r="D12" s="12">
        <f>B15</f>
        <v>-0.49</v>
      </c>
      <c r="E12" s="12">
        <f>B16</f>
        <v>-0.31</v>
      </c>
      <c r="F12" s="12">
        <f>B17</f>
        <v>0.28000000000000003</v>
      </c>
      <c r="G12" s="12">
        <f>B18</f>
        <v>0.52</v>
      </c>
      <c r="H12" s="12">
        <f>B19</f>
        <v>0.84</v>
      </c>
      <c r="I12" s="12">
        <f>B20</f>
        <v>0.47</v>
      </c>
    </row>
    <row r="13" spans="1:9" ht="15.6" x14ac:dyDescent="0.3">
      <c r="A13" s="3" t="s">
        <v>55</v>
      </c>
      <c r="B13" s="10">
        <v>0.66</v>
      </c>
      <c r="D13" s="11" t="s">
        <v>63</v>
      </c>
      <c r="E13" s="11" t="s">
        <v>64</v>
      </c>
      <c r="F13" s="11" t="s">
        <v>65</v>
      </c>
      <c r="G13" s="11" t="s">
        <v>66</v>
      </c>
      <c r="H13" s="11" t="s">
        <v>67</v>
      </c>
      <c r="I13" s="11" t="s">
        <v>68</v>
      </c>
    </row>
    <row r="14" spans="1:9" ht="15.6" x14ac:dyDescent="0.3">
      <c r="A14" s="3" t="s">
        <v>56</v>
      </c>
      <c r="B14" s="10">
        <v>0.85</v>
      </c>
      <c r="D14" s="12">
        <f>B21</f>
        <v>-0.24</v>
      </c>
      <c r="E14" s="12">
        <f>B22</f>
        <v>-0.43</v>
      </c>
      <c r="F14" s="12">
        <f>B23</f>
        <v>-0.28000000000000003</v>
      </c>
      <c r="G14" s="12">
        <f>B24</f>
        <v>0.14000000000000001</v>
      </c>
      <c r="H14" s="12">
        <f>B25</f>
        <v>0.36</v>
      </c>
      <c r="I14" s="12">
        <f>B26</f>
        <v>0.76</v>
      </c>
    </row>
    <row r="15" spans="1:9" ht="15.6" x14ac:dyDescent="0.3">
      <c r="A15" s="3" t="s">
        <v>57</v>
      </c>
      <c r="B15" s="10">
        <v>-0.49</v>
      </c>
      <c r="D15" s="11" t="s">
        <v>69</v>
      </c>
      <c r="E15" s="11" t="s">
        <v>70</v>
      </c>
      <c r="F15" s="11" t="s">
        <v>71</v>
      </c>
      <c r="G15" s="11" t="s">
        <v>72</v>
      </c>
      <c r="H15" s="11" t="s">
        <v>73</v>
      </c>
      <c r="I15" s="11" t="s">
        <v>74</v>
      </c>
    </row>
    <row r="16" spans="1:9" ht="15.6" x14ac:dyDescent="0.3">
      <c r="A16" s="3" t="s">
        <v>58</v>
      </c>
      <c r="B16" s="10">
        <v>-0.31</v>
      </c>
      <c r="D16" s="12">
        <f>B27</f>
        <v>-0.4</v>
      </c>
      <c r="E16" s="12">
        <f>B28</f>
        <v>-0.65</v>
      </c>
      <c r="F16" s="12">
        <f>B29</f>
        <v>-0.52</v>
      </c>
      <c r="G16" s="12">
        <f>B30</f>
        <v>-0.28000000000000003</v>
      </c>
      <c r="H16" s="12">
        <f>B31</f>
        <v>-0.43</v>
      </c>
      <c r="I16" s="12">
        <f>B32</f>
        <v>0.14000000000000001</v>
      </c>
    </row>
    <row r="17" spans="1:2" ht="15.6" x14ac:dyDescent="0.3">
      <c r="A17" s="3" t="s">
        <v>59</v>
      </c>
      <c r="B17" s="10">
        <v>0.28000000000000003</v>
      </c>
    </row>
    <row r="18" spans="1:2" ht="15.6" x14ac:dyDescent="0.3">
      <c r="A18" s="3" t="s">
        <v>60</v>
      </c>
      <c r="B18" s="10">
        <v>0.52</v>
      </c>
    </row>
    <row r="19" spans="1:2" ht="15.6" x14ac:dyDescent="0.3">
      <c r="A19" s="3" t="s">
        <v>61</v>
      </c>
      <c r="B19" s="10">
        <v>0.84</v>
      </c>
    </row>
    <row r="20" spans="1:2" ht="15.6" x14ac:dyDescent="0.3">
      <c r="A20" s="3" t="s">
        <v>62</v>
      </c>
      <c r="B20" s="10">
        <v>0.47</v>
      </c>
    </row>
    <row r="21" spans="1:2" ht="15.6" x14ac:dyDescent="0.3">
      <c r="A21" s="3" t="s">
        <v>63</v>
      </c>
      <c r="B21" s="10">
        <v>-0.24</v>
      </c>
    </row>
    <row r="22" spans="1:2" ht="15.6" x14ac:dyDescent="0.3">
      <c r="A22" s="3" t="s">
        <v>64</v>
      </c>
      <c r="B22" s="10">
        <v>-0.43</v>
      </c>
    </row>
    <row r="23" spans="1:2" ht="15.6" x14ac:dyDescent="0.3">
      <c r="A23" s="3" t="s">
        <v>65</v>
      </c>
      <c r="B23" s="10">
        <v>-0.28000000000000003</v>
      </c>
    </row>
    <row r="24" spans="1:2" ht="15.6" x14ac:dyDescent="0.3">
      <c r="A24" s="3" t="s">
        <v>66</v>
      </c>
      <c r="B24" s="10">
        <v>0.14000000000000001</v>
      </c>
    </row>
    <row r="25" spans="1:2" ht="15.6" x14ac:dyDescent="0.3">
      <c r="A25" s="3" t="s">
        <v>67</v>
      </c>
      <c r="B25" s="10">
        <v>0.36</v>
      </c>
    </row>
    <row r="26" spans="1:2" ht="15.6" x14ac:dyDescent="0.3">
      <c r="A26" s="3" t="s">
        <v>68</v>
      </c>
      <c r="B26" s="10">
        <v>0.76</v>
      </c>
    </row>
    <row r="27" spans="1:2" ht="15.6" x14ac:dyDescent="0.3">
      <c r="A27" s="3" t="s">
        <v>69</v>
      </c>
      <c r="B27" s="10">
        <v>-0.4</v>
      </c>
    </row>
    <row r="28" spans="1:2" ht="15.6" x14ac:dyDescent="0.3">
      <c r="A28" s="3" t="s">
        <v>70</v>
      </c>
      <c r="B28" s="10">
        <v>-0.65</v>
      </c>
    </row>
    <row r="29" spans="1:2" ht="15.6" x14ac:dyDescent="0.3">
      <c r="A29" s="3" t="s">
        <v>71</v>
      </c>
      <c r="B29" s="10">
        <v>-0.52</v>
      </c>
    </row>
    <row r="30" spans="1:2" ht="15.6" x14ac:dyDescent="0.3">
      <c r="A30" s="3" t="s">
        <v>72</v>
      </c>
      <c r="B30" s="10">
        <v>-0.28000000000000003</v>
      </c>
    </row>
    <row r="31" spans="1:2" ht="15.6" x14ac:dyDescent="0.3">
      <c r="A31" s="3" t="s">
        <v>73</v>
      </c>
      <c r="B31" s="10">
        <v>-0.43</v>
      </c>
    </row>
    <row r="32" spans="1:2" ht="15.6" x14ac:dyDescent="0.3">
      <c r="A32" s="3" t="s">
        <v>74</v>
      </c>
      <c r="B32" s="10">
        <v>0.14000000000000001</v>
      </c>
    </row>
  </sheetData>
  <pageMargins left="0.75" right="0.75" top="1" bottom="1" header="0.5" footer="0.5"/>
  <pageSetup paperSize="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zoomScale="110" workbookViewId="0"/>
  </sheetViews>
  <sheetFormatPr defaultRowHeight="14.4" x14ac:dyDescent="0.3"/>
  <cols>
    <col min="1" max="1" width="7" customWidth="1"/>
    <col min="2" max="2" width="16" customWidth="1"/>
    <col min="3" max="3" width="11" customWidth="1"/>
    <col min="4" max="4" width="10" customWidth="1"/>
    <col min="5" max="5" width="11" customWidth="1"/>
    <col min="6" max="6" width="10" customWidth="1"/>
    <col min="7" max="8" width="18" customWidth="1"/>
  </cols>
  <sheetData>
    <row r="1" spans="1:8" ht="17.399999999999999" x14ac:dyDescent="0.3">
      <c r="A1" s="1" t="s">
        <v>75</v>
      </c>
    </row>
    <row r="2" spans="1:8" ht="15.6" x14ac:dyDescent="0.3">
      <c r="A2" s="13" t="s">
        <v>76</v>
      </c>
    </row>
    <row r="4" spans="1:8" ht="31.2" x14ac:dyDescent="0.3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</row>
    <row r="5" spans="1:8" ht="31.2" x14ac:dyDescent="0.3">
      <c r="A5" s="3">
        <v>1</v>
      </c>
      <c r="B5" s="3" t="s">
        <v>85</v>
      </c>
      <c r="C5" s="3" t="s">
        <v>51</v>
      </c>
      <c r="D5" s="14">
        <f>'Исходные данные'!$B$9</f>
        <v>-0.25</v>
      </c>
      <c r="E5" s="3" t="s">
        <v>52</v>
      </c>
      <c r="F5" s="14">
        <f>'Исходные данные'!$B$10</f>
        <v>0.15</v>
      </c>
      <c r="G5" s="12">
        <f>'Исходные данные'!$B$3*ABS(D5)/(ABS(D5)+ABS(F5))</f>
        <v>62.5</v>
      </c>
      <c r="H5" s="12">
        <f>'Исходные данные'!$B$3-G5</f>
        <v>37.5</v>
      </c>
    </row>
    <row r="6" spans="1:8" ht="15.6" x14ac:dyDescent="0.3">
      <c r="A6" s="3">
        <v>2</v>
      </c>
      <c r="B6" s="3" t="s">
        <v>86</v>
      </c>
      <c r="C6" s="3" t="s">
        <v>52</v>
      </c>
      <c r="D6" s="14">
        <f>'Исходные данные'!$B$10</f>
        <v>0.15</v>
      </c>
      <c r="E6" s="3" t="s">
        <v>58</v>
      </c>
      <c r="F6" s="14">
        <f>'Исходные данные'!$B$16</f>
        <v>-0.31</v>
      </c>
      <c r="G6" s="12">
        <f>'Исходные данные'!$B$3*ABS(D6)/(ABS(D6)+ABS(F6))</f>
        <v>32.608695652173914</v>
      </c>
      <c r="H6" s="12">
        <f>'Исходные данные'!$B$3-G6</f>
        <v>67.391304347826093</v>
      </c>
    </row>
    <row r="7" spans="1:8" ht="31.2" x14ac:dyDescent="0.3">
      <c r="A7" s="3">
        <v>3</v>
      </c>
      <c r="B7" s="3" t="s">
        <v>85</v>
      </c>
      <c r="C7" s="3" t="s">
        <v>58</v>
      </c>
      <c r="D7" s="14">
        <f>'Исходные данные'!$B$16</f>
        <v>-0.31</v>
      </c>
      <c r="E7" s="3" t="s">
        <v>59</v>
      </c>
      <c r="F7" s="14">
        <f>'Исходные данные'!$B$17</f>
        <v>0.28000000000000003</v>
      </c>
      <c r="G7" s="12">
        <f>'Исходные данные'!$B$3*ABS(D7)/(ABS(D7)+ABS(F7))</f>
        <v>52.542372881355924</v>
      </c>
      <c r="H7" s="12">
        <f>'Исходные данные'!$B$3-G7</f>
        <v>47.457627118644076</v>
      </c>
    </row>
    <row r="8" spans="1:8" ht="15.6" x14ac:dyDescent="0.3">
      <c r="A8" s="3">
        <v>4</v>
      </c>
      <c r="B8" s="3" t="s">
        <v>86</v>
      </c>
      <c r="C8" s="3" t="s">
        <v>59</v>
      </c>
      <c r="D8" s="14">
        <f>'Исходные данные'!$B$17</f>
        <v>0.28000000000000003</v>
      </c>
      <c r="E8" s="3" t="s">
        <v>65</v>
      </c>
      <c r="F8" s="14">
        <f>'Исходные данные'!$B$23</f>
        <v>-0.28000000000000003</v>
      </c>
      <c r="G8" s="12">
        <f>'Исходные данные'!$B$3*ABS(D8)/(ABS(D8)+ABS(F8))</f>
        <v>50</v>
      </c>
      <c r="H8" s="12">
        <f>'Исходные данные'!$B$3-G8</f>
        <v>50</v>
      </c>
    </row>
    <row r="9" spans="1:8" ht="31.2" x14ac:dyDescent="0.3">
      <c r="A9" s="3">
        <v>5</v>
      </c>
      <c r="B9" s="3" t="s">
        <v>85</v>
      </c>
      <c r="C9" s="3" t="s">
        <v>65</v>
      </c>
      <c r="D9" s="14">
        <f>'Исходные данные'!$B$23</f>
        <v>-0.28000000000000003</v>
      </c>
      <c r="E9" s="3" t="s">
        <v>66</v>
      </c>
      <c r="F9" s="14">
        <f>'Исходные данные'!$B$24</f>
        <v>0.14000000000000001</v>
      </c>
      <c r="G9" s="12">
        <f>'Исходные данные'!$B$3*ABS(D9)/(ABS(D9)+ABS(F9))</f>
        <v>66.666666666666671</v>
      </c>
      <c r="H9" s="12">
        <f>'Исходные данные'!$B$3-G9</f>
        <v>33.333333333333329</v>
      </c>
    </row>
    <row r="10" spans="1:8" ht="15.6" x14ac:dyDescent="0.3">
      <c r="A10" s="3">
        <v>6</v>
      </c>
      <c r="B10" s="3" t="s">
        <v>86</v>
      </c>
      <c r="C10" s="3" t="s">
        <v>66</v>
      </c>
      <c r="D10" s="14">
        <f>'Исходные данные'!$B$24</f>
        <v>0.14000000000000001</v>
      </c>
      <c r="E10" s="3" t="s">
        <v>72</v>
      </c>
      <c r="F10" s="14">
        <f>'Исходные данные'!$B$30</f>
        <v>-0.28000000000000003</v>
      </c>
      <c r="G10" s="12">
        <f>'Исходные данные'!$B$3*ABS(D10)/(ABS(D10)+ABS(F10))</f>
        <v>33.333333333333336</v>
      </c>
      <c r="H10" s="12">
        <f>'Исходные данные'!$B$3-G10</f>
        <v>66.666666666666657</v>
      </c>
    </row>
    <row r="11" spans="1:8" ht="15.6" x14ac:dyDescent="0.3">
      <c r="A11" s="3">
        <v>7</v>
      </c>
      <c r="B11" s="3" t="s">
        <v>86</v>
      </c>
      <c r="C11" s="3" t="s">
        <v>67</v>
      </c>
      <c r="D11" s="14">
        <f>'Исходные данные'!$B$25</f>
        <v>0.36</v>
      </c>
      <c r="E11" s="3" t="s">
        <v>73</v>
      </c>
      <c r="F11" s="14">
        <f>'Исходные данные'!$B$31</f>
        <v>-0.43</v>
      </c>
      <c r="G11" s="12">
        <f>'Исходные данные'!$B$3*ABS(D11)/(ABS(D11)+ABS(F11))</f>
        <v>45.569620253164558</v>
      </c>
      <c r="H11" s="12">
        <f>'Исходные данные'!$B$3-G11</f>
        <v>54.430379746835442</v>
      </c>
    </row>
    <row r="12" spans="1:8" ht="31.2" x14ac:dyDescent="0.3">
      <c r="A12" s="3">
        <v>8</v>
      </c>
      <c r="B12" s="3" t="s">
        <v>85</v>
      </c>
      <c r="C12" s="3" t="s">
        <v>73</v>
      </c>
      <c r="D12" s="14">
        <f>'Исходные данные'!$B$31</f>
        <v>-0.43</v>
      </c>
      <c r="E12" s="3" t="s">
        <v>74</v>
      </c>
      <c r="F12" s="14">
        <f>'Исходные данные'!$B$32</f>
        <v>0.14000000000000001</v>
      </c>
      <c r="G12" s="12">
        <f>'Исходные данные'!$B$3*ABS(D12)/(ABS(D12)+ABS(F12))</f>
        <v>75.438596491228068</v>
      </c>
      <c r="H12" s="12">
        <f>'Исходные данные'!$B$3-G12</f>
        <v>24.561403508771932</v>
      </c>
    </row>
  </sheetData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3"/>
  <sheetViews>
    <sheetView zoomScale="110" workbookViewId="0"/>
  </sheetViews>
  <sheetFormatPr defaultRowHeight="14.4" x14ac:dyDescent="0.3"/>
  <cols>
    <col min="1" max="1" width="10" customWidth="1"/>
    <col min="2" max="2" width="11" customWidth="1"/>
    <col min="3" max="3" width="9" customWidth="1"/>
    <col min="4" max="4" width="11" customWidth="1"/>
    <col min="5" max="5" width="10" customWidth="1"/>
    <col min="6" max="6" width="11" customWidth="1"/>
    <col min="7" max="7" width="9" customWidth="1"/>
    <col min="8" max="8" width="11" customWidth="1"/>
    <col min="9" max="9" width="13" customWidth="1"/>
  </cols>
  <sheetData>
    <row r="1" spans="1:9" ht="17.399999999999999" x14ac:dyDescent="0.3">
      <c r="A1" s="1" t="s">
        <v>87</v>
      </c>
    </row>
    <row r="2" spans="1:9" ht="15.6" x14ac:dyDescent="0.3">
      <c r="A2" s="13" t="s">
        <v>88</v>
      </c>
    </row>
    <row r="4" spans="1:9" x14ac:dyDescent="0.3">
      <c r="A4" s="42" t="s">
        <v>89</v>
      </c>
      <c r="B4" s="41"/>
      <c r="C4" s="41"/>
      <c r="D4" s="41"/>
      <c r="E4" s="42" t="s">
        <v>90</v>
      </c>
      <c r="F4" s="41"/>
      <c r="G4" s="41"/>
      <c r="H4" s="41"/>
      <c r="I4" s="41"/>
    </row>
    <row r="5" spans="1:9" ht="31.95" customHeight="1" x14ac:dyDescent="0.3">
      <c r="A5" s="2" t="s">
        <v>91</v>
      </c>
      <c r="B5" s="2" t="s">
        <v>92</v>
      </c>
      <c r="C5" s="2" t="s">
        <v>93</v>
      </c>
      <c r="D5" s="2" t="s">
        <v>94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95</v>
      </c>
    </row>
    <row r="6" spans="1:9" ht="15.6" x14ac:dyDescent="0.3">
      <c r="A6" s="15" t="s">
        <v>96</v>
      </c>
      <c r="B6" s="12">
        <f>'Исходные данные'!$B$3^2-$F$6</f>
        <v>9388.5869565217399</v>
      </c>
      <c r="C6" s="16">
        <f>(0+ABS('Исходные данные'!$B$9)+ABS('Исходные данные'!$B$15)+ABS('Исходные данные'!$B$16)+0)/5</f>
        <v>0.21000000000000002</v>
      </c>
      <c r="D6" s="12">
        <f>B6*C6</f>
        <v>1971.6032608695655</v>
      </c>
      <c r="E6" s="15" t="s">
        <v>97</v>
      </c>
      <c r="F6" s="12">
        <f>'ЛНР (черн.)'!$G$6*'ЛНР (черн.)'!$H$5/2</f>
        <v>611.41304347826087</v>
      </c>
      <c r="G6" s="16">
        <f>(0+ABS('Исходные данные'!$B$10)+0)/3</f>
        <v>4.9999999999999996E-2</v>
      </c>
      <c r="H6" s="12">
        <f>F6*G6</f>
        <v>30.570652173913039</v>
      </c>
      <c r="I6" s="12">
        <f>H6/'Исходные данные'!$B$4</f>
        <v>29.394857859531768</v>
      </c>
    </row>
    <row r="7" spans="1:9" ht="15.6" x14ac:dyDescent="0.3">
      <c r="A7" s="15" t="s">
        <v>98</v>
      </c>
      <c r="B7" s="12">
        <f>'ЛНР (черн.)'!$H$6*'ЛНР (черн.)'!$G$7/2</f>
        <v>1770.4495210022105</v>
      </c>
      <c r="C7" s="16">
        <f>(0+ABS('Исходные данные'!$B$16)+0)/3</f>
        <v>0.10333333333333333</v>
      </c>
      <c r="D7" s="12">
        <f>B7*C7</f>
        <v>182.94645050356175</v>
      </c>
      <c r="E7" s="15" t="s">
        <v>99</v>
      </c>
      <c r="F7" s="12">
        <f>'Исходные данные'!$B$3^2-$B$7</f>
        <v>8229.5504789977895</v>
      </c>
      <c r="G7" s="16">
        <f>(0+ABS('Исходные данные'!$B$17)+ABS('Исходные данные'!$B$11)+ABS('Исходные данные'!$B$10)+0)/5</f>
        <v>0.15400000000000003</v>
      </c>
      <c r="H7" s="12">
        <f>F7*G7</f>
        <v>1267.3507737656598</v>
      </c>
      <c r="I7" s="12">
        <f>H7/'Исходные данные'!$B$4</f>
        <v>1218.6065132362114</v>
      </c>
    </row>
    <row r="8" spans="1:9" ht="15.6" x14ac:dyDescent="0.3">
      <c r="A8" s="3" t="s">
        <v>100</v>
      </c>
      <c r="B8" s="3" t="s">
        <v>100</v>
      </c>
      <c r="C8" s="3" t="s">
        <v>100</v>
      </c>
      <c r="D8" s="3" t="s">
        <v>100</v>
      </c>
      <c r="E8" s="15" t="s">
        <v>101</v>
      </c>
      <c r="F8" s="12">
        <f>'Исходные данные'!$B$3^2</f>
        <v>10000</v>
      </c>
      <c r="G8" s="16">
        <f>(ABS('Исходные данные'!$B$17)+ABS('Исходные данные'!$B$18)+ABS('Исходные данные'!$B$12)+ABS('Исходные данные'!$B$11))/4</f>
        <v>0.40250000000000002</v>
      </c>
      <c r="H8" s="12">
        <f>F8*G8</f>
        <v>4025.0000000000005</v>
      </c>
      <c r="I8" s="12">
        <f>H8/'Исходные данные'!$B$4</f>
        <v>3870.1923076923081</v>
      </c>
    </row>
    <row r="9" spans="1:9" ht="15.6" x14ac:dyDescent="0.3">
      <c r="A9" s="3" t="s">
        <v>100</v>
      </c>
      <c r="B9" s="3" t="s">
        <v>100</v>
      </c>
      <c r="C9" s="3" t="s">
        <v>100</v>
      </c>
      <c r="D9" s="3" t="s">
        <v>100</v>
      </c>
      <c r="E9" s="15" t="s">
        <v>102</v>
      </c>
      <c r="F9" s="12">
        <f>'Исходные данные'!$B$3^2</f>
        <v>10000</v>
      </c>
      <c r="G9" s="16">
        <f>(ABS('Исходные данные'!$B$18)+ABS('Исходные данные'!$B$19)+ABS('Исходные данные'!$B$13)+ABS('Исходные данные'!$B$12))/4</f>
        <v>0.62250000000000005</v>
      </c>
      <c r="H9" s="12">
        <f>F9*G9</f>
        <v>6225.0000000000009</v>
      </c>
      <c r="I9" s="12">
        <f>H9/'Исходные данные'!$B$4</f>
        <v>5985.5769230769238</v>
      </c>
    </row>
    <row r="10" spans="1:9" ht="15.6" x14ac:dyDescent="0.3">
      <c r="A10" s="3" t="s">
        <v>100</v>
      </c>
      <c r="B10" s="3" t="s">
        <v>100</v>
      </c>
      <c r="C10" s="3" t="s">
        <v>100</v>
      </c>
      <c r="D10" s="3" t="s">
        <v>100</v>
      </c>
      <c r="E10" s="15" t="s">
        <v>103</v>
      </c>
      <c r="F10" s="12">
        <f>'Исходные данные'!$B$3^2</f>
        <v>10000</v>
      </c>
      <c r="G10" s="16">
        <f>(ABS('Исходные данные'!$B$19)+ABS('Исходные данные'!$B$20)+ABS('Исходные данные'!$B$14)+ABS('Исходные данные'!$B$13))/4</f>
        <v>0.70500000000000007</v>
      </c>
      <c r="H10" s="12">
        <f>F10*G10</f>
        <v>7050.0000000000009</v>
      </c>
      <c r="I10" s="12">
        <f>H10/'Исходные данные'!$B$4</f>
        <v>6778.8461538461543</v>
      </c>
    </row>
    <row r="11" spans="1:9" ht="15.6" x14ac:dyDescent="0.3">
      <c r="A11" s="15" t="s">
        <v>104</v>
      </c>
      <c r="B11" s="12">
        <f>'Исходные данные'!$B$3^2</f>
        <v>10000</v>
      </c>
      <c r="C11" s="16">
        <f>(ABS('Исходные данные'!$B$21)+ABS('Исходные данные'!$B$22)+ABS('Исходные данные'!$B$16)+ABS('Исходные данные'!$B$15))/4</f>
        <v>0.36749999999999999</v>
      </c>
      <c r="D11" s="12">
        <f>B11*C11</f>
        <v>3675</v>
      </c>
      <c r="E11" s="3" t="s">
        <v>100</v>
      </c>
      <c r="F11" s="3" t="s">
        <v>100</v>
      </c>
      <c r="G11" s="3" t="s">
        <v>100</v>
      </c>
      <c r="H11" s="3" t="s">
        <v>100</v>
      </c>
      <c r="I11" s="3" t="s">
        <v>100</v>
      </c>
    </row>
    <row r="12" spans="1:9" ht="15.6" x14ac:dyDescent="0.3">
      <c r="A12" s="15" t="s">
        <v>105</v>
      </c>
      <c r="B12" s="12">
        <f>'Исходные данные'!$B$3^2-$F$12</f>
        <v>8813.5593220338978</v>
      </c>
      <c r="C12" s="16">
        <f>(0+ABS('Исходные данные'!$B$16)+ABS('Исходные данные'!$B$22)+ABS('Исходные данные'!$B$23)+0)/5</f>
        <v>0.20400000000000001</v>
      </c>
      <c r="D12" s="12">
        <f>B12*C12</f>
        <v>1797.9661016949153</v>
      </c>
      <c r="E12" s="15" t="s">
        <v>106</v>
      </c>
      <c r="F12" s="12">
        <f>'ЛНР (черн.)'!$G$8*'ЛНР (черн.)'!$H$7/2</f>
        <v>1186.4406779661019</v>
      </c>
      <c r="G12" s="16">
        <f>(0+ABS('Исходные данные'!$B$17)+0)/3</f>
        <v>9.3333333333333338E-2</v>
      </c>
      <c r="H12" s="12">
        <f>F12*G12</f>
        <v>110.73446327683618</v>
      </c>
      <c r="I12" s="12">
        <f>H12/'Исходные данные'!$B$4</f>
        <v>106.47544545849632</v>
      </c>
    </row>
    <row r="13" spans="1:9" ht="15.6" x14ac:dyDescent="0.3">
      <c r="A13" s="15" t="s">
        <v>107</v>
      </c>
      <c r="B13" s="12">
        <f>'ЛНР (черн.)'!$H$8*'ЛНР (черн.)'!$G$9/2</f>
        <v>1666.6666666666667</v>
      </c>
      <c r="C13" s="16">
        <f>(0+ABS('Исходные данные'!$B$23)+0)/3</f>
        <v>9.3333333333333338E-2</v>
      </c>
      <c r="D13" s="12">
        <f>B13*C13</f>
        <v>155.55555555555557</v>
      </c>
      <c r="E13" s="15" t="s">
        <v>108</v>
      </c>
      <c r="F13" s="12">
        <f>'Исходные данные'!$B$3^2-$B$13</f>
        <v>8333.3333333333339</v>
      </c>
      <c r="G13" s="16">
        <f>(0+ABS('Исходные данные'!$B$24)+ABS('Исходные данные'!$B$18)+ABS('Исходные данные'!$B$17)+0)/5</f>
        <v>0.188</v>
      </c>
      <c r="H13" s="12">
        <f>F13*G13</f>
        <v>1566.6666666666667</v>
      </c>
      <c r="I13" s="12">
        <f>H13/'Исходные данные'!$B$4</f>
        <v>1506.4102564102564</v>
      </c>
    </row>
    <row r="14" spans="1:9" ht="15.6" x14ac:dyDescent="0.3">
      <c r="A14" s="3" t="s">
        <v>100</v>
      </c>
      <c r="B14" s="3" t="s">
        <v>100</v>
      </c>
      <c r="C14" s="3" t="s">
        <v>100</v>
      </c>
      <c r="D14" s="3" t="s">
        <v>100</v>
      </c>
      <c r="E14" s="15" t="s">
        <v>109</v>
      </c>
      <c r="F14" s="12">
        <f>'Исходные данные'!$B$3^2</f>
        <v>10000</v>
      </c>
      <c r="G14" s="16">
        <f>(ABS('Исходные данные'!$B$24)+ABS('Исходные данные'!$B$25)+ABS('Исходные данные'!$B$19)+ABS('Исходные данные'!$B$18))/4</f>
        <v>0.46499999999999997</v>
      </c>
      <c r="H14" s="12">
        <f>F14*G14</f>
        <v>4650</v>
      </c>
      <c r="I14" s="12">
        <f>H14/'Исходные данные'!$B$4</f>
        <v>4471.1538461538457</v>
      </c>
    </row>
    <row r="15" spans="1:9" ht="15.6" x14ac:dyDescent="0.3">
      <c r="A15" s="3" t="s">
        <v>100</v>
      </c>
      <c r="B15" s="3" t="s">
        <v>100</v>
      </c>
      <c r="C15" s="3" t="s">
        <v>100</v>
      </c>
      <c r="D15" s="3" t="s">
        <v>100</v>
      </c>
      <c r="E15" s="15" t="s">
        <v>110</v>
      </c>
      <c r="F15" s="12">
        <f>'Исходные данные'!$B$3^2</f>
        <v>10000</v>
      </c>
      <c r="G15" s="16">
        <f>(ABS('Исходные данные'!$B$25)+ABS('Исходные данные'!$B$26)+ABS('Исходные данные'!$B$20)+ABS('Исходные данные'!$B$19))/4</f>
        <v>0.60750000000000004</v>
      </c>
      <c r="H15" s="12">
        <f>F15*G15</f>
        <v>6075</v>
      </c>
      <c r="I15" s="12">
        <f>H15/'Исходные данные'!$B$4</f>
        <v>5841.3461538461534</v>
      </c>
    </row>
    <row r="16" spans="1:9" ht="15.6" x14ac:dyDescent="0.3">
      <c r="A16" s="15" t="s">
        <v>111</v>
      </c>
      <c r="B16" s="12">
        <f>'Исходные данные'!$B$3^2</f>
        <v>10000</v>
      </c>
      <c r="C16" s="16">
        <f>(ABS('Исходные данные'!$B$27)+ABS('Исходные данные'!$B$28)+ABS('Исходные данные'!$B$22)+ABS('Исходные данные'!$B$21))/4</f>
        <v>0.43</v>
      </c>
      <c r="D16" s="12">
        <f>B16*C16</f>
        <v>4300</v>
      </c>
      <c r="E16" s="3" t="s">
        <v>100</v>
      </c>
      <c r="F16" s="3" t="s">
        <v>100</v>
      </c>
      <c r="G16" s="3" t="s">
        <v>100</v>
      </c>
      <c r="H16" s="3" t="s">
        <v>100</v>
      </c>
      <c r="I16" s="3" t="s">
        <v>100</v>
      </c>
    </row>
    <row r="17" spans="1:9" ht="15.6" x14ac:dyDescent="0.3">
      <c r="A17" s="15" t="s">
        <v>112</v>
      </c>
      <c r="B17" s="12">
        <f>'Исходные данные'!$B$3^2</f>
        <v>10000</v>
      </c>
      <c r="C17" s="16">
        <f>(ABS('Исходные данные'!$B$28)+ABS('Исходные данные'!$B$29)+ABS('Исходные данные'!$B$23)+ABS('Исходные данные'!$B$22))/4</f>
        <v>0.47</v>
      </c>
      <c r="D17" s="12">
        <f>B17*C17</f>
        <v>4700</v>
      </c>
      <c r="E17" s="3" t="s">
        <v>100</v>
      </c>
      <c r="F17" s="3" t="s">
        <v>100</v>
      </c>
      <c r="G17" s="3" t="s">
        <v>100</v>
      </c>
      <c r="H17" s="3" t="s">
        <v>100</v>
      </c>
      <c r="I17" s="3" t="s">
        <v>100</v>
      </c>
    </row>
    <row r="18" spans="1:9" ht="15.6" x14ac:dyDescent="0.3">
      <c r="A18" s="15" t="s">
        <v>113</v>
      </c>
      <c r="B18" s="12">
        <f>'Исходные данные'!$B$3^2-$F$18</f>
        <v>9444.4444444444453</v>
      </c>
      <c r="C18" s="16">
        <f>(0+ABS('Исходные данные'!$B$23)+ABS('Исходные данные'!$B$29)+ABS('Исходные данные'!$B$30)+0)/5</f>
        <v>0.21600000000000003</v>
      </c>
      <c r="D18" s="12">
        <f>B18*C18</f>
        <v>2040.0000000000005</v>
      </c>
      <c r="E18" s="15" t="s">
        <v>114</v>
      </c>
      <c r="F18" s="12">
        <f>'ЛНР (черн.)'!$G$10*'ЛНР (черн.)'!$H$9/2</f>
        <v>555.55555555555554</v>
      </c>
      <c r="G18" s="16">
        <f>(0+ABS('Исходные данные'!$B$24)+0)/3</f>
        <v>4.6666666666666669E-2</v>
      </c>
      <c r="H18" s="12">
        <f>F18*G18</f>
        <v>25.925925925925927</v>
      </c>
      <c r="I18" s="12">
        <f>H18/'Исходные данные'!$B$4</f>
        <v>24.928774928774928</v>
      </c>
    </row>
    <row r="19" spans="1:9" ht="15.6" x14ac:dyDescent="0.3">
      <c r="A19" s="15" t="s">
        <v>115</v>
      </c>
      <c r="B19" s="12">
        <f>('ЛНР (черн.)'!$H$10+'ЛНР (черн.)'!$H$11)/2*'Исходные данные'!$B$3</f>
        <v>6054.8523206751051</v>
      </c>
      <c r="C19" s="16">
        <f>(0+ABS('Исходные данные'!$B$30)+ABS('Исходные данные'!$B$31)+0)/4</f>
        <v>0.17749999999999999</v>
      </c>
      <c r="D19" s="12">
        <f>B19*C19</f>
        <v>1074.7362869198312</v>
      </c>
      <c r="E19" s="15" t="s">
        <v>116</v>
      </c>
      <c r="F19" s="12">
        <f>('ЛНР (черн.)'!$G$11+'ЛНР (черн.)'!$G$10)/2*'Исходные данные'!$B$3</f>
        <v>3945.1476793248944</v>
      </c>
      <c r="G19" s="16">
        <f>(0+ABS('Исходные данные'!$B$25)+ABS('Исходные данные'!$B$24)+0)/4</f>
        <v>0.125</v>
      </c>
      <c r="H19" s="12">
        <f>F19*G19</f>
        <v>493.1434599156118</v>
      </c>
      <c r="I19" s="12">
        <f>H19/'Исходные данные'!$B$4</f>
        <v>474.17640376501134</v>
      </c>
    </row>
    <row r="20" spans="1:9" ht="15.6" x14ac:dyDescent="0.3">
      <c r="A20" s="15" t="s">
        <v>117</v>
      </c>
      <c r="B20" s="12">
        <f>'ЛНР (черн.)'!$H$11*'ЛНР (черн.)'!$G$12/2</f>
        <v>2053.0757272929159</v>
      </c>
      <c r="C20" s="16">
        <f>(0+ABS('Исходные данные'!$B$31)+0)/3</f>
        <v>0.14333333333333334</v>
      </c>
      <c r="D20" s="12">
        <f>B20*C20</f>
        <v>294.27418757865127</v>
      </c>
      <c r="E20" s="15" t="s">
        <v>118</v>
      </c>
      <c r="F20" s="12">
        <f>'Исходные данные'!$B$3^2-$B$20</f>
        <v>7946.9242727070841</v>
      </c>
      <c r="G20" s="16">
        <f>(0+ABS('Исходные данные'!$B$32)+ABS('Исходные данные'!$B$26)+ABS('Исходные данные'!$B$25)+0)/5</f>
        <v>0.252</v>
      </c>
      <c r="H20" s="12">
        <f>F20*G20</f>
        <v>2002.6249167221852</v>
      </c>
      <c r="I20" s="12">
        <f>H20/'Исходные данные'!$B$4</f>
        <v>1925.6008814636396</v>
      </c>
    </row>
    <row r="21" spans="1:9" ht="15.6" x14ac:dyDescent="0.3">
      <c r="A21" s="15" t="s">
        <v>119</v>
      </c>
      <c r="B21" s="17">
        <f>SUM(B6:B20)</f>
        <v>69191.634958636991</v>
      </c>
      <c r="C21" s="3"/>
      <c r="D21" s="17">
        <f>SUM(D6:D20)</f>
        <v>20192.08184312208</v>
      </c>
      <c r="E21" s="15" t="s">
        <v>119</v>
      </c>
      <c r="F21" s="17">
        <f>SUM(F6:F20)</f>
        <v>80808.365041363009</v>
      </c>
      <c r="G21" s="3"/>
      <c r="H21" s="17">
        <f>SUM(H6:H20)</f>
        <v>33522.016858446805</v>
      </c>
      <c r="I21" s="17">
        <f>SUM(I6:I20)</f>
        <v>32232.708517737305</v>
      </c>
    </row>
    <row r="23" spans="1:9" ht="15.6" x14ac:dyDescent="0.3">
      <c r="A23" s="9" t="s">
        <v>120</v>
      </c>
    </row>
    <row r="24" spans="1:9" ht="15.6" x14ac:dyDescent="0.3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</row>
    <row r="25" spans="1:9" ht="15.6" x14ac:dyDescent="0.3">
      <c r="A25" s="3" t="s">
        <v>127</v>
      </c>
      <c r="B25" s="16">
        <f>ABS('Исходные данные'!$B$9)+ABS('Исходные данные'!$B$31)+ABS('Исходные данные'!$B$30)+ABS('Исходные данные'!$B$29)+ABS('Исходные данные'!$B$28)+ABS('Исходные данные'!$B$27)+ABS('Исходные данные'!$B$21)+ABS('Исходные данные'!$B$15)</f>
        <v>3.26</v>
      </c>
      <c r="C25" s="3">
        <v>8</v>
      </c>
      <c r="D25" s="12">
        <f>'ЛНР (черн.)'!$G$5+'ЛНР (черн.)'!$G$12+'Исходные данные'!$B$3+'Исходные данные'!$B$3+'Исходные данные'!$B$3+'Исходные данные'!$B$3+'Исходные данные'!$B$3+'Исходные данные'!$B$3+'Исходные данные'!$B$3</f>
        <v>837.93859649122805</v>
      </c>
      <c r="E25" s="10">
        <v>0.25</v>
      </c>
      <c r="F25" s="12">
        <f>(B25/C25)^2*D25*E25/2</f>
        <v>17.393117632949561</v>
      </c>
    </row>
    <row r="26" spans="1:9" ht="15.6" x14ac:dyDescent="0.3">
      <c r="A26" s="3" t="s">
        <v>128</v>
      </c>
      <c r="B26" s="16">
        <f>ABS('Исходные данные'!$B$10)+ABS('Исходные данные'!$B$11)+ABS('Исходные данные'!$B$12)+ABS('Исходные данные'!$B$13)+ABS('Исходные данные'!$B$14)+ABS('Исходные данные'!$B$20)+ABS('Исходные данные'!$B$26)+ABS('Исходные данные'!$B$32)</f>
        <v>3.8400000000000003</v>
      </c>
      <c r="C26" s="3">
        <v>8</v>
      </c>
      <c r="D26" s="12">
        <f>'ЛНР (черн.)'!$H$5+'Исходные данные'!$B$3+'Исходные данные'!$B$3+'Исходные данные'!$B$3+'Исходные данные'!$B$3+'Исходные данные'!$B$3+'Исходные данные'!$B$3+'Исходные данные'!$B$3+'ЛНР (черн.)'!$H$12</f>
        <v>762.06140350877195</v>
      </c>
      <c r="E26" s="10">
        <v>0.25</v>
      </c>
      <c r="F26" s="12">
        <f>(B26/C26)^2*D26*E26/2</f>
        <v>21.947368421052637</v>
      </c>
    </row>
    <row r="28" spans="1:9" ht="15.6" x14ac:dyDescent="0.3">
      <c r="A28" s="9" t="s">
        <v>129</v>
      </c>
    </row>
    <row r="29" spans="1:9" ht="15.6" x14ac:dyDescent="0.3">
      <c r="A29" s="40" t="s">
        <v>130</v>
      </c>
      <c r="B29" s="41"/>
      <c r="C29" s="41"/>
      <c r="D29" s="41"/>
      <c r="E29" s="41"/>
      <c r="F29" s="17">
        <f>B21+F21</f>
        <v>150000</v>
      </c>
    </row>
    <row r="30" spans="1:9" ht="15.6" x14ac:dyDescent="0.3">
      <c r="A30" s="40" t="s">
        <v>131</v>
      </c>
      <c r="B30" s="41"/>
      <c r="C30" s="41"/>
      <c r="D30" s="41"/>
      <c r="E30" s="41"/>
      <c r="F30" s="17">
        <f>'Исходные данные'!$B$6*'Исходные данные'!$B$3^2</f>
        <v>150000</v>
      </c>
    </row>
    <row r="31" spans="1:9" ht="15.6" x14ac:dyDescent="0.3">
      <c r="A31" s="40" t="s">
        <v>132</v>
      </c>
      <c r="B31" s="41"/>
      <c r="C31" s="41"/>
      <c r="D31" s="41"/>
      <c r="E31" s="41"/>
      <c r="F31" s="17">
        <f>D21+F25</f>
        <v>20209.474960755029</v>
      </c>
    </row>
    <row r="32" spans="1:9" ht="15.6" x14ac:dyDescent="0.3">
      <c r="A32" s="40" t="s">
        <v>133</v>
      </c>
      <c r="B32" s="41"/>
      <c r="C32" s="41"/>
      <c r="D32" s="41"/>
      <c r="E32" s="41"/>
      <c r="F32" s="17">
        <f>H21+F26</f>
        <v>33543.964226867858</v>
      </c>
    </row>
    <row r="33" spans="1:6" ht="15.6" x14ac:dyDescent="0.3">
      <c r="A33" s="40" t="s">
        <v>134</v>
      </c>
      <c r="B33" s="41"/>
      <c r="C33" s="41"/>
      <c r="D33" s="41"/>
      <c r="E33" s="41"/>
      <c r="F33" s="17">
        <f>F32/'Исходные данные'!$B$4</f>
        <v>32253.811756603707</v>
      </c>
    </row>
  </sheetData>
  <mergeCells count="7">
    <mergeCell ref="A30:E30"/>
    <mergeCell ref="A29:E29"/>
    <mergeCell ref="E4:I4"/>
    <mergeCell ref="A4:D4"/>
    <mergeCell ref="A33:E33"/>
    <mergeCell ref="A32:E32"/>
    <mergeCell ref="A31:E31"/>
  </mergeCells>
  <pageMargins left="0.75" right="0.75" top="1" bottom="1" header="0.5" footer="0.5"/>
  <pageSetup paperSize="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81"/>
  <sheetViews>
    <sheetView zoomScale="110" workbookViewId="0"/>
  </sheetViews>
  <sheetFormatPr defaultRowHeight="14.4" x14ac:dyDescent="0.3"/>
  <cols>
    <col min="1" max="1" width="52" customWidth="1"/>
    <col min="2" max="2" width="10" customWidth="1"/>
    <col min="3" max="3" width="12" customWidth="1"/>
    <col min="4" max="4" width="8" customWidth="1"/>
    <col min="5" max="5" width="44" customWidth="1"/>
    <col min="6" max="7" width="9" customWidth="1"/>
    <col min="8" max="8" width="10" customWidth="1"/>
  </cols>
  <sheetData>
    <row r="1" spans="1:5" ht="17.399999999999999" x14ac:dyDescent="0.3">
      <c r="A1" s="1" t="s">
        <v>135</v>
      </c>
    </row>
    <row r="2" spans="1:5" x14ac:dyDescent="0.3">
      <c r="A2" s="7" t="s">
        <v>136</v>
      </c>
    </row>
    <row r="4" spans="1:5" ht="15.6" x14ac:dyDescent="0.3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141</v>
      </c>
    </row>
    <row r="5" spans="1:5" x14ac:dyDescent="0.3">
      <c r="A5" s="43" t="s">
        <v>142</v>
      </c>
      <c r="B5" s="41"/>
      <c r="C5" s="41"/>
      <c r="D5" s="41"/>
      <c r="E5" s="41"/>
    </row>
    <row r="6" spans="1:5" ht="31.2" x14ac:dyDescent="0.3">
      <c r="A6" s="5" t="s">
        <v>143</v>
      </c>
      <c r="B6" s="3" t="s">
        <v>144</v>
      </c>
      <c r="C6" s="19">
        <v>2.4</v>
      </c>
      <c r="D6" s="3" t="s">
        <v>145</v>
      </c>
      <c r="E6" s="20"/>
    </row>
    <row r="7" spans="1:5" ht="15.6" x14ac:dyDescent="0.3">
      <c r="A7" s="5" t="s">
        <v>146</v>
      </c>
      <c r="B7" s="3" t="s">
        <v>147</v>
      </c>
      <c r="C7" s="19">
        <v>0.4</v>
      </c>
      <c r="D7" s="3" t="s">
        <v>145</v>
      </c>
      <c r="E7" s="20"/>
    </row>
    <row r="8" spans="1:5" ht="15.6" x14ac:dyDescent="0.3">
      <c r="A8" s="5" t="s">
        <v>148</v>
      </c>
      <c r="B8" s="3" t="s">
        <v>149</v>
      </c>
      <c r="C8" s="19">
        <v>0.15</v>
      </c>
      <c r="D8" s="3" t="s">
        <v>145</v>
      </c>
      <c r="E8" s="20"/>
    </row>
    <row r="9" spans="1:5" ht="15.6" x14ac:dyDescent="0.3">
      <c r="A9" s="5" t="s">
        <v>150</v>
      </c>
      <c r="B9" s="3" t="s">
        <v>151</v>
      </c>
      <c r="C9" s="19">
        <v>0.1</v>
      </c>
      <c r="D9" s="3" t="s">
        <v>145</v>
      </c>
      <c r="E9" s="20"/>
    </row>
    <row r="10" spans="1:5" ht="15.6" x14ac:dyDescent="0.3">
      <c r="A10" s="5" t="s">
        <v>152</v>
      </c>
      <c r="B10" s="3" t="s">
        <v>153</v>
      </c>
      <c r="C10" s="19">
        <v>0.2</v>
      </c>
      <c r="D10" s="3" t="s">
        <v>145</v>
      </c>
      <c r="E10" s="20" t="s">
        <v>154</v>
      </c>
    </row>
    <row r="11" spans="1:5" ht="15.6" x14ac:dyDescent="0.3">
      <c r="A11" s="5" t="s">
        <v>155</v>
      </c>
      <c r="B11" s="3" t="s">
        <v>156</v>
      </c>
      <c r="C11" s="19">
        <v>0.4</v>
      </c>
      <c r="D11" s="3" t="s">
        <v>145</v>
      </c>
      <c r="E11" s="20" t="s">
        <v>157</v>
      </c>
    </row>
    <row r="12" spans="1:5" ht="15.6" x14ac:dyDescent="0.3">
      <c r="A12" s="5" t="s">
        <v>158</v>
      </c>
      <c r="B12" s="3"/>
      <c r="C12" s="19">
        <v>0.5</v>
      </c>
      <c r="D12" s="3" t="s">
        <v>145</v>
      </c>
      <c r="E12" s="20" t="s">
        <v>159</v>
      </c>
    </row>
    <row r="13" spans="1:5" ht="15.6" x14ac:dyDescent="0.3">
      <c r="A13" s="5" t="s">
        <v>160</v>
      </c>
      <c r="B13" s="3"/>
      <c r="C13" s="19">
        <v>0.2</v>
      </c>
      <c r="D13" s="3" t="s">
        <v>145</v>
      </c>
      <c r="E13" s="20" t="s">
        <v>161</v>
      </c>
    </row>
    <row r="14" spans="1:5" ht="15.6" x14ac:dyDescent="0.3">
      <c r="A14" s="5" t="s">
        <v>162</v>
      </c>
      <c r="B14" s="3"/>
      <c r="C14" s="19">
        <v>0.5</v>
      </c>
      <c r="D14" s="3" t="s">
        <v>145</v>
      </c>
      <c r="E14" s="20" t="s">
        <v>159</v>
      </c>
    </row>
    <row r="15" spans="1:5" ht="15.6" x14ac:dyDescent="0.3">
      <c r="A15" s="5" t="s">
        <v>163</v>
      </c>
      <c r="B15" s="3"/>
      <c r="C15" s="21">
        <v>60</v>
      </c>
      <c r="D15" s="3" t="s">
        <v>145</v>
      </c>
      <c r="E15" s="20"/>
    </row>
    <row r="16" spans="1:5" ht="15.6" x14ac:dyDescent="0.3">
      <c r="A16" s="5" t="s">
        <v>164</v>
      </c>
      <c r="B16" s="3"/>
      <c r="C16" s="21">
        <v>30</v>
      </c>
      <c r="D16" s="3" t="s">
        <v>145</v>
      </c>
      <c r="E16" s="20"/>
    </row>
    <row r="17" spans="1:5" ht="15.6" x14ac:dyDescent="0.3">
      <c r="A17" s="5" t="s">
        <v>165</v>
      </c>
      <c r="B17" s="3"/>
      <c r="C17" s="21">
        <v>42</v>
      </c>
      <c r="D17" s="3" t="s">
        <v>145</v>
      </c>
      <c r="E17" s="20"/>
    </row>
    <row r="18" spans="1:5" ht="15.6" x14ac:dyDescent="0.3">
      <c r="A18" s="5" t="s">
        <v>166</v>
      </c>
      <c r="B18" s="3"/>
      <c r="C18" s="21">
        <v>12</v>
      </c>
      <c r="D18" s="3" t="s">
        <v>145</v>
      </c>
      <c r="E18" s="20"/>
    </row>
    <row r="19" spans="1:5" ht="15.6" x14ac:dyDescent="0.3">
      <c r="A19" s="5" t="s">
        <v>167</v>
      </c>
      <c r="B19" s="3"/>
      <c r="C19" s="22">
        <v>200</v>
      </c>
      <c r="D19" s="3" t="s">
        <v>145</v>
      </c>
      <c r="E19" s="20"/>
    </row>
    <row r="20" spans="1:5" ht="15.6" x14ac:dyDescent="0.3">
      <c r="A20" s="5" t="s">
        <v>168</v>
      </c>
      <c r="B20" s="3"/>
      <c r="C20" s="22">
        <v>100</v>
      </c>
      <c r="D20" s="3" t="s">
        <v>145</v>
      </c>
      <c r="E20" s="20"/>
    </row>
    <row r="21" spans="1:5" ht="15.6" x14ac:dyDescent="0.3">
      <c r="A21" s="5" t="s">
        <v>169</v>
      </c>
      <c r="B21" s="3" t="s">
        <v>170</v>
      </c>
      <c r="C21" s="23">
        <f>$C$19+'Исходные данные'!$B$3/2-$C$15/2</f>
        <v>220</v>
      </c>
      <c r="D21" s="3" t="s">
        <v>145</v>
      </c>
      <c r="E21" s="20"/>
    </row>
    <row r="22" spans="1:5" ht="15.6" x14ac:dyDescent="0.3">
      <c r="A22" s="5" t="s">
        <v>171</v>
      </c>
      <c r="B22" s="3" t="s">
        <v>172</v>
      </c>
      <c r="C22" s="23">
        <f>$C$20+'Исходные данные'!$B$3/2-$C$16/2</f>
        <v>135</v>
      </c>
      <c r="D22" s="3" t="s">
        <v>145</v>
      </c>
      <c r="E22" s="20"/>
    </row>
    <row r="23" spans="1:5" x14ac:dyDescent="0.3">
      <c r="A23" s="43" t="s">
        <v>173</v>
      </c>
      <c r="B23" s="41"/>
      <c r="C23" s="41"/>
      <c r="D23" s="41"/>
      <c r="E23" s="41"/>
    </row>
    <row r="24" spans="1:5" ht="15.6" x14ac:dyDescent="0.3">
      <c r="A24" s="5" t="s">
        <v>174</v>
      </c>
      <c r="B24" s="3"/>
      <c r="C24" s="24">
        <f>$C$11/2</f>
        <v>0.2</v>
      </c>
      <c r="D24" s="3" t="s">
        <v>145</v>
      </c>
      <c r="E24" s="20"/>
    </row>
    <row r="25" spans="1:5" ht="15.6" x14ac:dyDescent="0.3">
      <c r="A25" s="5" t="s">
        <v>175</v>
      </c>
      <c r="B25" s="3" t="s">
        <v>176</v>
      </c>
      <c r="C25" s="24">
        <f>$C$24+$C$12</f>
        <v>0.7</v>
      </c>
      <c r="D25" s="3" t="s">
        <v>145</v>
      </c>
      <c r="E25" s="20"/>
    </row>
    <row r="26" spans="1:5" ht="15.6" x14ac:dyDescent="0.3">
      <c r="A26" s="5" t="s">
        <v>177</v>
      </c>
      <c r="B26" s="3"/>
      <c r="C26" s="24">
        <f>$C$25+$C$13</f>
        <v>0.89999999999999991</v>
      </c>
      <c r="D26" s="3" t="s">
        <v>145</v>
      </c>
      <c r="E26" s="20"/>
    </row>
    <row r="27" spans="1:5" ht="15.6" x14ac:dyDescent="0.3">
      <c r="A27" s="5" t="s">
        <v>178</v>
      </c>
      <c r="B27" s="3"/>
      <c r="C27" s="24">
        <f>$C$26+$C$14</f>
        <v>1.4</v>
      </c>
      <c r="D27" s="3" t="s">
        <v>145</v>
      </c>
      <c r="E27" s="20"/>
    </row>
    <row r="28" spans="1:5" ht="15.6" x14ac:dyDescent="0.3">
      <c r="A28" s="5" t="s">
        <v>179</v>
      </c>
      <c r="B28" s="3" t="s">
        <v>180</v>
      </c>
      <c r="C28" s="24">
        <f>$C$27-$C$25</f>
        <v>0.7</v>
      </c>
      <c r="D28" s="3" t="s">
        <v>145</v>
      </c>
      <c r="E28" s="20" t="s">
        <v>181</v>
      </c>
    </row>
    <row r="29" spans="1:5" ht="15.6" x14ac:dyDescent="0.3">
      <c r="A29" s="5" t="s">
        <v>182</v>
      </c>
      <c r="B29" s="3" t="s">
        <v>183</v>
      </c>
      <c r="C29" s="21">
        <v>2.5</v>
      </c>
      <c r="D29" s="3" t="s">
        <v>145</v>
      </c>
      <c r="E29" s="20" t="s">
        <v>184</v>
      </c>
    </row>
    <row r="30" spans="1:5" ht="15.6" x14ac:dyDescent="0.3">
      <c r="A30" s="5" t="s">
        <v>185</v>
      </c>
      <c r="B30" s="3" t="s">
        <v>186</v>
      </c>
      <c r="C30" s="23">
        <f>1+2*$C$29+1</f>
        <v>7</v>
      </c>
      <c r="D30" s="3" t="s">
        <v>145</v>
      </c>
      <c r="E30" s="20" t="s">
        <v>187</v>
      </c>
    </row>
    <row r="31" spans="1:5" ht="15.6" x14ac:dyDescent="0.3">
      <c r="A31" s="5" t="s">
        <v>188</v>
      </c>
      <c r="B31" s="3"/>
      <c r="C31" s="24">
        <f>$C$25+$C$30</f>
        <v>7.7</v>
      </c>
      <c r="D31" s="3" t="s">
        <v>145</v>
      </c>
      <c r="E31" s="20"/>
    </row>
    <row r="32" spans="1:5" x14ac:dyDescent="0.3">
      <c r="A32" s="43" t="s">
        <v>189</v>
      </c>
      <c r="B32" s="41"/>
      <c r="C32" s="41"/>
      <c r="D32" s="41"/>
      <c r="E32" s="41"/>
    </row>
    <row r="33" spans="1:5" ht="26.4" x14ac:dyDescent="0.3">
      <c r="A33" s="5" t="s">
        <v>190</v>
      </c>
      <c r="B33" s="3" t="s">
        <v>191</v>
      </c>
      <c r="C33" s="12">
        <f>IF($C$6&lt;=1.5,0.25,IF($C$6&lt;=3,0.67,0.85))</f>
        <v>0.67</v>
      </c>
      <c r="D33" s="3"/>
      <c r="E33" s="20" t="s">
        <v>192</v>
      </c>
    </row>
    <row r="34" spans="1:5" ht="15.6" x14ac:dyDescent="0.3">
      <c r="A34" s="5" t="s">
        <v>193</v>
      </c>
      <c r="B34" s="3"/>
      <c r="C34" s="24">
        <f>$C$27+$C$6*$C$33</f>
        <v>3.008</v>
      </c>
      <c r="D34" s="3" t="s">
        <v>145</v>
      </c>
      <c r="E34" s="20"/>
    </row>
    <row r="35" spans="1:5" ht="31.2" x14ac:dyDescent="0.3">
      <c r="A35" s="5" t="s">
        <v>194</v>
      </c>
      <c r="B35" s="3"/>
      <c r="C35" s="24">
        <f>$C$31+$C$6*$C$33</f>
        <v>9.3079999999999998</v>
      </c>
      <c r="D35" s="3" t="s">
        <v>145</v>
      </c>
      <c r="E35" s="20"/>
    </row>
    <row r="36" spans="1:5" ht="31.2" x14ac:dyDescent="0.3">
      <c r="A36" s="5" t="s">
        <v>195</v>
      </c>
      <c r="B36" s="3" t="s">
        <v>196</v>
      </c>
      <c r="C36" s="16">
        <f>AVERAGE(H75:H80)</f>
        <v>0.15056332305066666</v>
      </c>
      <c r="D36" s="3" t="s">
        <v>145</v>
      </c>
      <c r="E36" s="20" t="s">
        <v>197</v>
      </c>
    </row>
    <row r="37" spans="1:5" ht="15.6" x14ac:dyDescent="0.3">
      <c r="A37" s="5" t="s">
        <v>198</v>
      </c>
      <c r="B37" s="3"/>
      <c r="C37" s="24" t="str">
        <f>IF($C$36&gt;0,"насыпи","выемки")</f>
        <v>насыпи</v>
      </c>
      <c r="D37" s="3"/>
      <c r="E37" s="20" t="s">
        <v>199</v>
      </c>
    </row>
    <row r="38" spans="1:5" ht="31.2" x14ac:dyDescent="0.3">
      <c r="A38" s="5" t="s">
        <v>200</v>
      </c>
      <c r="B38" s="3" t="s">
        <v>201</v>
      </c>
      <c r="C38" s="16">
        <f>('Исходные данные'!$B$17+'Исходные данные'!$B$18+'Исходные данные'!$B$23+'Исходные данные'!$B$24)/4</f>
        <v>0.16500000000000001</v>
      </c>
      <c r="D38" s="3" t="s">
        <v>145</v>
      </c>
      <c r="E38" s="20" t="s">
        <v>202</v>
      </c>
    </row>
    <row r="39" spans="1:5" ht="15.6" x14ac:dyDescent="0.3">
      <c r="A39" s="5" t="s">
        <v>203</v>
      </c>
      <c r="B39" s="3" t="s">
        <v>204</v>
      </c>
      <c r="C39" s="16">
        <f>IF($C$37="насыпи",$C$6-$C$10-$C$38,$C$6-$C$10)</f>
        <v>2.0349999999999997</v>
      </c>
      <c r="D39" s="3" t="s">
        <v>145</v>
      </c>
      <c r="E39" s="20" t="s">
        <v>205</v>
      </c>
    </row>
    <row r="40" spans="1:5" x14ac:dyDescent="0.3">
      <c r="A40" s="43" t="s">
        <v>206</v>
      </c>
      <c r="B40" s="41"/>
      <c r="C40" s="41"/>
      <c r="D40" s="41"/>
      <c r="E40" s="41"/>
    </row>
    <row r="41" spans="1:5" ht="15.6" x14ac:dyDescent="0.3">
      <c r="A41" s="5" t="s">
        <v>207</v>
      </c>
      <c r="B41" s="3" t="s">
        <v>125</v>
      </c>
      <c r="C41" s="12">
        <f>IF($C$39&lt;=1.5,0.25,IF($C$39&lt;=3,0.67,0.85))</f>
        <v>0.67</v>
      </c>
      <c r="D41" s="3"/>
      <c r="E41" s="20" t="s">
        <v>208</v>
      </c>
    </row>
    <row r="42" spans="1:5" ht="15.6" x14ac:dyDescent="0.3">
      <c r="A42" s="5" t="s">
        <v>209</v>
      </c>
      <c r="B42" s="3" t="s">
        <v>210</v>
      </c>
      <c r="C42" s="16">
        <f>$C$39*$C$41</f>
        <v>1.3634499999999998</v>
      </c>
      <c r="D42" s="3" t="s">
        <v>145</v>
      </c>
      <c r="E42" s="20" t="s">
        <v>211</v>
      </c>
    </row>
    <row r="43" spans="1:5" ht="15.6" x14ac:dyDescent="0.3">
      <c r="A43" s="5" t="s">
        <v>212</v>
      </c>
      <c r="B43" s="3"/>
      <c r="C43" s="24">
        <f>$C$15+$C$27+$C$31</f>
        <v>69.099999999999994</v>
      </c>
      <c r="D43" s="3" t="s">
        <v>145</v>
      </c>
      <c r="E43" s="20"/>
    </row>
    <row r="44" spans="1:5" ht="15.6" x14ac:dyDescent="0.3">
      <c r="A44" s="5" t="s">
        <v>213</v>
      </c>
      <c r="B44" s="3"/>
      <c r="C44" s="24">
        <f>$C$16+2*$C$27</f>
        <v>32.799999999999997</v>
      </c>
      <c r="D44" s="3" t="s">
        <v>145</v>
      </c>
      <c r="E44" s="20"/>
    </row>
    <row r="45" spans="1:5" ht="15.6" x14ac:dyDescent="0.3">
      <c r="A45" s="5" t="s">
        <v>214</v>
      </c>
      <c r="B45" s="3" t="s">
        <v>215</v>
      </c>
      <c r="C45" s="12">
        <f>$C$43*$C$44-($C$17-$C$27+$C$31)*$C$18</f>
        <v>1686.8799999999997</v>
      </c>
      <c r="D45" s="3" t="s">
        <v>216</v>
      </c>
      <c r="E45" s="20" t="s">
        <v>217</v>
      </c>
    </row>
    <row r="46" spans="1:5" ht="15.6" x14ac:dyDescent="0.3">
      <c r="A46" s="5" t="s">
        <v>218</v>
      </c>
      <c r="B46" s="3"/>
      <c r="C46" s="24">
        <f>$C$43+2*$C$42</f>
        <v>71.826899999999995</v>
      </c>
      <c r="D46" s="3" t="s">
        <v>145</v>
      </c>
      <c r="E46" s="20"/>
    </row>
    <row r="47" spans="1:5" ht="15.6" x14ac:dyDescent="0.3">
      <c r="A47" s="5" t="s">
        <v>219</v>
      </c>
      <c r="B47" s="3"/>
      <c r="C47" s="24">
        <f>$C$44+2*$C$42</f>
        <v>35.526899999999998</v>
      </c>
      <c r="D47" s="3" t="s">
        <v>145</v>
      </c>
      <c r="E47" s="20"/>
    </row>
    <row r="48" spans="1:5" ht="15.6" x14ac:dyDescent="0.3">
      <c r="A48" s="5" t="s">
        <v>220</v>
      </c>
      <c r="B48" s="3" t="s">
        <v>221</v>
      </c>
      <c r="C48" s="12">
        <f>$C$46*$C$47-($C$17-$C$27+$C$31)*$C$18</f>
        <v>1972.1870936099999</v>
      </c>
      <c r="D48" s="3" t="s">
        <v>216</v>
      </c>
      <c r="E48" s="20"/>
    </row>
    <row r="49" spans="1:5" ht="15.6" x14ac:dyDescent="0.3">
      <c r="A49" s="5" t="s">
        <v>222</v>
      </c>
      <c r="B49" s="3" t="s">
        <v>223</v>
      </c>
      <c r="C49" s="12">
        <f>($C$15+2*$C$24)*($C$16+2*$C$24)-$C$17*$C$18</f>
        <v>1332.1599999999999</v>
      </c>
      <c r="D49" s="3" t="s">
        <v>216</v>
      </c>
      <c r="E49" s="20"/>
    </row>
    <row r="50" spans="1:5" ht="15.6" x14ac:dyDescent="0.3">
      <c r="A50" s="5" t="s">
        <v>224</v>
      </c>
      <c r="B50" s="3" t="s">
        <v>225</v>
      </c>
      <c r="C50" s="12">
        <f>($C$15+2*$C$25)*($C$16+2*$C$25)-$C$17*$C$18</f>
        <v>1423.9599999999998</v>
      </c>
      <c r="D50" s="3" t="s">
        <v>216</v>
      </c>
      <c r="E50" s="20"/>
    </row>
    <row r="51" spans="1:5" ht="15.6" x14ac:dyDescent="0.3">
      <c r="A51" s="5" t="s">
        <v>226</v>
      </c>
      <c r="B51" s="3" t="s">
        <v>227</v>
      </c>
      <c r="C51" s="12">
        <f>($C$15+2*$C$26)*($C$16+2*$C$26)-$C$17*$C$18</f>
        <v>1461.24</v>
      </c>
      <c r="D51" s="3" t="s">
        <v>216</v>
      </c>
      <c r="E51" s="20"/>
    </row>
    <row r="52" spans="1:5" x14ac:dyDescent="0.3">
      <c r="A52" s="43" t="s">
        <v>228</v>
      </c>
      <c r="B52" s="41"/>
      <c r="C52" s="41"/>
      <c r="D52" s="41"/>
      <c r="E52" s="41"/>
    </row>
    <row r="53" spans="1:5" ht="26.4" x14ac:dyDescent="0.3">
      <c r="A53" s="5" t="s">
        <v>229</v>
      </c>
      <c r="B53" s="3" t="s">
        <v>230</v>
      </c>
      <c r="C53" s="21">
        <v>6</v>
      </c>
      <c r="D53" s="3" t="s">
        <v>145</v>
      </c>
      <c r="E53" s="20" t="s">
        <v>231</v>
      </c>
    </row>
    <row r="54" spans="1:5" ht="15.6" x14ac:dyDescent="0.3">
      <c r="A54" s="5" t="s">
        <v>232</v>
      </c>
      <c r="B54" s="3" t="s">
        <v>233</v>
      </c>
      <c r="C54" s="10">
        <v>0.1</v>
      </c>
      <c r="D54" s="3"/>
      <c r="E54" s="20" t="s">
        <v>234</v>
      </c>
    </row>
    <row r="55" spans="1:5" ht="15.6" x14ac:dyDescent="0.3">
      <c r="A55" s="5" t="s">
        <v>235</v>
      </c>
      <c r="B55" s="3" t="s">
        <v>236</v>
      </c>
      <c r="C55" s="12">
        <f>1/$C$54</f>
        <v>10</v>
      </c>
      <c r="D55" s="3"/>
      <c r="E55" s="20" t="s">
        <v>237</v>
      </c>
    </row>
    <row r="56" spans="1:5" ht="15.6" x14ac:dyDescent="0.3">
      <c r="A56" s="5" t="s">
        <v>238</v>
      </c>
      <c r="B56" s="3"/>
      <c r="C56" s="24">
        <f>$C$39*$C$55</f>
        <v>20.349999999999998</v>
      </c>
      <c r="D56" s="3" t="s">
        <v>145</v>
      </c>
      <c r="E56" s="20"/>
    </row>
    <row r="57" spans="1:5" ht="15.6" x14ac:dyDescent="0.3">
      <c r="A57" s="5" t="s">
        <v>239</v>
      </c>
      <c r="B57" s="3" t="s">
        <v>240</v>
      </c>
      <c r="C57" s="12">
        <f>$C$39^2/6*(3*$C$53+2*$C$41*$C$39*($C$55-$C$41)/$C$55)*($C$55-$C$41)</f>
        <v>132.29651566188372</v>
      </c>
      <c r="D57" s="3" t="s">
        <v>241</v>
      </c>
      <c r="E57" s="20" t="s">
        <v>242</v>
      </c>
    </row>
    <row r="58" spans="1:5" x14ac:dyDescent="0.3">
      <c r="A58" s="43" t="s">
        <v>243</v>
      </c>
      <c r="B58" s="41"/>
      <c r="C58" s="41"/>
      <c r="D58" s="41"/>
      <c r="E58" s="41"/>
    </row>
    <row r="59" spans="1:5" ht="15.6" x14ac:dyDescent="0.3">
      <c r="A59" s="5" t="s">
        <v>244</v>
      </c>
      <c r="B59" s="3"/>
      <c r="C59" s="12">
        <f>$C$39/3*($C$45+$C$48+SQRT($C$45*$C$48))</f>
        <v>3719.3224407418052</v>
      </c>
      <c r="D59" s="3" t="s">
        <v>241</v>
      </c>
      <c r="E59" s="20" t="s">
        <v>245</v>
      </c>
    </row>
    <row r="60" spans="1:5" ht="15.6" x14ac:dyDescent="0.3">
      <c r="A60" s="5" t="s">
        <v>246</v>
      </c>
      <c r="B60" s="3" t="s">
        <v>247</v>
      </c>
      <c r="C60" s="12">
        <f>$C$59+$C$57</f>
        <v>3851.618956403689</v>
      </c>
      <c r="D60" s="3" t="s">
        <v>241</v>
      </c>
      <c r="E60" s="20"/>
    </row>
    <row r="61" spans="1:5" ht="15.6" x14ac:dyDescent="0.3">
      <c r="A61" s="5" t="s">
        <v>248</v>
      </c>
      <c r="B61" s="3" t="s">
        <v>249</v>
      </c>
      <c r="C61" s="12">
        <f>$C$45*$C$9</f>
        <v>168.68799999999999</v>
      </c>
      <c r="D61" s="3" t="s">
        <v>241</v>
      </c>
      <c r="E61" s="20" t="s">
        <v>250</v>
      </c>
    </row>
    <row r="62" spans="1:5" ht="15.6" x14ac:dyDescent="0.3">
      <c r="A62" s="5" t="s">
        <v>251</v>
      </c>
      <c r="B62" s="3" t="s">
        <v>252</v>
      </c>
      <c r="C62" s="12">
        <f>$C$51*$C$8</f>
        <v>219.18600000000001</v>
      </c>
      <c r="D62" s="3" t="s">
        <v>241</v>
      </c>
      <c r="E62" s="20" t="s">
        <v>253</v>
      </c>
    </row>
    <row r="63" spans="1:5" ht="15.6" x14ac:dyDescent="0.3">
      <c r="A63" s="5" t="s">
        <v>254</v>
      </c>
      <c r="B63" s="3" t="s">
        <v>255</v>
      </c>
      <c r="C63" s="10">
        <v>0</v>
      </c>
      <c r="D63" s="3" t="s">
        <v>241</v>
      </c>
      <c r="E63" s="20" t="s">
        <v>256</v>
      </c>
    </row>
    <row r="64" spans="1:5" ht="15.6" x14ac:dyDescent="0.3">
      <c r="A64" s="5" t="s">
        <v>257</v>
      </c>
      <c r="B64" s="3" t="s">
        <v>258</v>
      </c>
      <c r="C64" s="10">
        <v>0</v>
      </c>
      <c r="D64" s="3" t="s">
        <v>241</v>
      </c>
      <c r="E64" s="20" t="s">
        <v>259</v>
      </c>
    </row>
    <row r="65" spans="1:8" ht="15.6" x14ac:dyDescent="0.3">
      <c r="A65" s="5" t="s">
        <v>260</v>
      </c>
      <c r="B65" s="3" t="s">
        <v>261</v>
      </c>
      <c r="C65" s="12">
        <f>$C$50*$C$7</f>
        <v>569.58399999999995</v>
      </c>
      <c r="D65" s="3" t="s">
        <v>241</v>
      </c>
      <c r="E65" s="20" t="s">
        <v>262</v>
      </c>
    </row>
    <row r="66" spans="1:8" ht="15.6" x14ac:dyDescent="0.3">
      <c r="A66" s="5" t="s">
        <v>263</v>
      </c>
      <c r="B66" s="3"/>
      <c r="C66" s="24">
        <f>$C$39-$C$7-$C$8-$C$9</f>
        <v>1.3849999999999998</v>
      </c>
      <c r="D66" s="3" t="s">
        <v>145</v>
      </c>
      <c r="E66" s="20" t="s">
        <v>264</v>
      </c>
    </row>
    <row r="67" spans="1:8" ht="15.6" x14ac:dyDescent="0.3">
      <c r="A67" s="5" t="s">
        <v>265</v>
      </c>
      <c r="B67" s="3" t="s">
        <v>266</v>
      </c>
      <c r="C67" s="12">
        <f>$C$49*$C$66</f>
        <v>1845.0415999999996</v>
      </c>
      <c r="D67" s="3" t="s">
        <v>241</v>
      </c>
      <c r="E67" s="20"/>
    </row>
    <row r="68" spans="1:8" ht="15.6" x14ac:dyDescent="0.3">
      <c r="A68" s="5" t="s">
        <v>267</v>
      </c>
      <c r="B68" s="3" t="s">
        <v>268</v>
      </c>
      <c r="C68" s="12">
        <f>$C$65+$C$67</f>
        <v>2414.6255999999994</v>
      </c>
      <c r="D68" s="3" t="s">
        <v>241</v>
      </c>
      <c r="E68" s="20" t="s">
        <v>269</v>
      </c>
    </row>
    <row r="69" spans="1:8" ht="26.4" x14ac:dyDescent="0.3">
      <c r="A69" s="5" t="s">
        <v>270</v>
      </c>
      <c r="B69" s="3" t="s">
        <v>271</v>
      </c>
      <c r="C69" s="12">
        <f>$C$59-$C$68-$C$61-$C$62-$C$63-$C$64</f>
        <v>916.82284074180563</v>
      </c>
      <c r="D69" s="3" t="s">
        <v>241</v>
      </c>
      <c r="E69" s="20" t="s">
        <v>272</v>
      </c>
    </row>
    <row r="70" spans="1:8" ht="15.6" x14ac:dyDescent="0.3">
      <c r="A70" s="5" t="s">
        <v>273</v>
      </c>
      <c r="B70" s="3" t="s">
        <v>240</v>
      </c>
      <c r="C70" s="12">
        <f>$C$57</f>
        <v>132.29651566188372</v>
      </c>
      <c r="D70" s="3" t="s">
        <v>241</v>
      </c>
      <c r="E70" s="20"/>
    </row>
    <row r="71" spans="1:8" ht="15.6" x14ac:dyDescent="0.3">
      <c r="A71" s="5" t="s">
        <v>274</v>
      </c>
      <c r="B71" s="3" t="s">
        <v>275</v>
      </c>
      <c r="C71" s="12">
        <f>$C$69+$C$70</f>
        <v>1049.1193564036894</v>
      </c>
      <c r="D71" s="3" t="s">
        <v>241</v>
      </c>
      <c r="E71" s="20" t="s">
        <v>276</v>
      </c>
    </row>
    <row r="73" spans="1:8" ht="15.6" x14ac:dyDescent="0.3">
      <c r="A73" s="9" t="s">
        <v>277</v>
      </c>
    </row>
    <row r="74" spans="1:8" ht="31.2" x14ac:dyDescent="0.3">
      <c r="A74" s="2" t="s">
        <v>278</v>
      </c>
      <c r="B74" s="2" t="s">
        <v>279</v>
      </c>
      <c r="C74" s="2" t="s">
        <v>280</v>
      </c>
      <c r="D74" s="2" t="s">
        <v>281</v>
      </c>
      <c r="E74" s="2" t="s">
        <v>282</v>
      </c>
      <c r="F74" s="2" t="s">
        <v>283</v>
      </c>
      <c r="G74" s="2" t="s">
        <v>284</v>
      </c>
      <c r="H74" s="2" t="s">
        <v>49</v>
      </c>
    </row>
    <row r="75" spans="1:8" ht="15.6" x14ac:dyDescent="0.3">
      <c r="A75" s="3" t="s">
        <v>96</v>
      </c>
      <c r="B75" s="24">
        <f>-$C$34</f>
        <v>-3.008</v>
      </c>
      <c r="C75" s="24">
        <f>-$C$34</f>
        <v>-3.008</v>
      </c>
      <c r="D75" s="24">
        <f t="shared" ref="D75:D80" si="0">$C$21+B75</f>
        <v>216.99199999999999</v>
      </c>
      <c r="E75" s="24">
        <f t="shared" ref="E75:E80" si="1">$C$22+C75</f>
        <v>131.99199999999999</v>
      </c>
      <c r="F75" s="16">
        <f>(D75-$C$19)/'Исходные данные'!$B$3</f>
        <v>0.1699199999999999</v>
      </c>
      <c r="G75" s="16">
        <f>(E75-$C$20)/'Исходные данные'!$B$3</f>
        <v>0.31991999999999993</v>
      </c>
      <c r="H75" s="16">
        <f>'Исходные данные'!$B$23*(1-F75)*(1-G75)+'Исходные данные'!$B$24*F75*(1-G75)+'Исходные данные'!$B$17*(1-F75)*G75+'Исходные данные'!$B$18*F75*G75</f>
        <v>-3.926334515200007E-2</v>
      </c>
    </row>
    <row r="76" spans="1:8" ht="15.6" x14ac:dyDescent="0.3">
      <c r="A76" s="3" t="s">
        <v>98</v>
      </c>
      <c r="B76" s="24">
        <f>$C$15-$C$17+$C$34</f>
        <v>21.007999999999999</v>
      </c>
      <c r="C76" s="24">
        <f>-$C$34</f>
        <v>-3.008</v>
      </c>
      <c r="D76" s="24">
        <f t="shared" si="0"/>
        <v>241.00800000000001</v>
      </c>
      <c r="E76" s="24">
        <f t="shared" si="1"/>
        <v>131.99199999999999</v>
      </c>
      <c r="F76" s="16">
        <f>(D76-$C$19)/'Исходные данные'!$B$3</f>
        <v>0.41008000000000011</v>
      </c>
      <c r="G76" s="16">
        <f>(E76-$C$20)/'Исходные данные'!$B$3</f>
        <v>0.31991999999999993</v>
      </c>
      <c r="H76" s="16">
        <f>'Исходные данные'!$B$23*(1-F76)*(1-G76)+'Исходные данные'!$B$24*F76*(1-G76)+'Исходные данные'!$B$17*(1-F76)*G76+'Исходные данные'!$B$18*F76*G76</f>
        <v>4.7774097152000004E-2</v>
      </c>
    </row>
    <row r="77" spans="1:8" ht="15.6" x14ac:dyDescent="0.3">
      <c r="A77" s="3" t="s">
        <v>101</v>
      </c>
      <c r="B77" s="24">
        <f>$C$15-$C$17+$C$34</f>
        <v>21.007999999999999</v>
      </c>
      <c r="C77" s="24">
        <f>$C$18-$C$34</f>
        <v>8.9920000000000009</v>
      </c>
      <c r="D77" s="24">
        <f t="shared" si="0"/>
        <v>241.00800000000001</v>
      </c>
      <c r="E77" s="24">
        <f t="shared" si="1"/>
        <v>143.99199999999999</v>
      </c>
      <c r="F77" s="16">
        <f>(D77-$C$19)/'Исходные данные'!$B$3</f>
        <v>0.41008000000000011</v>
      </c>
      <c r="G77" s="16">
        <f>(E77-$C$20)/'Исходные данные'!$B$3</f>
        <v>0.43991999999999992</v>
      </c>
      <c r="H77" s="16">
        <f>'Исходные данные'!$B$23*(1-F77)*(1-G77)+'Исходные данные'!$B$24*F77*(1-G77)+'Исходные данные'!$B$17*(1-F77)*G77+'Исходные данные'!$B$18*F77*G77</f>
        <v>0.10611636915200001</v>
      </c>
    </row>
    <row r="78" spans="1:8" ht="15.6" x14ac:dyDescent="0.3">
      <c r="A78" s="3" t="s">
        <v>102</v>
      </c>
      <c r="B78" s="24">
        <f>$C$15+$C$35</f>
        <v>69.307999999999993</v>
      </c>
      <c r="C78" s="24">
        <f>$C$18-$C$34</f>
        <v>8.9920000000000009</v>
      </c>
      <c r="D78" s="24">
        <f t="shared" si="0"/>
        <v>289.30799999999999</v>
      </c>
      <c r="E78" s="24">
        <f t="shared" si="1"/>
        <v>143.99199999999999</v>
      </c>
      <c r="F78" s="16">
        <f>(D78-$C$19)/'Исходные данные'!$B$3</f>
        <v>0.89307999999999987</v>
      </c>
      <c r="G78" s="16">
        <f>(E78-$C$20)/'Исходные данные'!$B$3</f>
        <v>0.43991999999999992</v>
      </c>
      <c r="H78" s="16">
        <f>'Исходные данные'!$B$23*(1-F78)*(1-G78)+'Исходные данные'!$B$24*F78*(1-G78)+'Исходные данные'!$B$17*(1-F78)*G78+'Исходные данные'!$B$18*F78*G78</f>
        <v>0.27072972435199993</v>
      </c>
    </row>
    <row r="79" spans="1:8" ht="15.6" x14ac:dyDescent="0.3">
      <c r="A79" s="3" t="s">
        <v>103</v>
      </c>
      <c r="B79" s="24">
        <f>$C$15+$C$35</f>
        <v>69.307999999999993</v>
      </c>
      <c r="C79" s="24">
        <f>$C$16+$C$34</f>
        <v>33.008000000000003</v>
      </c>
      <c r="D79" s="24">
        <f t="shared" si="0"/>
        <v>289.30799999999999</v>
      </c>
      <c r="E79" s="24">
        <f t="shared" si="1"/>
        <v>168.00800000000001</v>
      </c>
      <c r="F79" s="16">
        <f>(D79-$C$19)/'Исходные данные'!$B$3</f>
        <v>0.89307999999999987</v>
      </c>
      <c r="G79" s="16">
        <f>(E79-$C$20)/'Исходные данные'!$B$3</f>
        <v>0.68008000000000013</v>
      </c>
      <c r="H79" s="16">
        <f>'Исходные данные'!$B$23*(1-F79)*(1-G79)+'Исходные данные'!$B$24*F79*(1-G79)+'Исходные данные'!$B$17*(1-F79)*G79+'Исходные данные'!$B$18*F79*G79</f>
        <v>0.36661254764800005</v>
      </c>
    </row>
    <row r="80" spans="1:8" ht="15.6" x14ac:dyDescent="0.3">
      <c r="A80" s="3" t="s">
        <v>104</v>
      </c>
      <c r="B80" s="24">
        <f>-$C$34</f>
        <v>-3.008</v>
      </c>
      <c r="C80" s="24">
        <f>$C$16+$C$34</f>
        <v>33.008000000000003</v>
      </c>
      <c r="D80" s="24">
        <f t="shared" si="0"/>
        <v>216.99199999999999</v>
      </c>
      <c r="E80" s="24">
        <f t="shared" si="1"/>
        <v>168.00800000000001</v>
      </c>
      <c r="F80" s="16">
        <f>(D80-$C$19)/'Исходные данные'!$B$3</f>
        <v>0.1699199999999999</v>
      </c>
      <c r="G80" s="16">
        <f>(E80-$C$20)/'Исходные данные'!$B$3</f>
        <v>0.68008000000000013</v>
      </c>
      <c r="H80" s="16">
        <f>'Исходные данные'!$B$23*(1-F80)*(1-G80)+'Исходные данные'!$B$24*F80*(1-G80)+'Исходные данные'!$B$17*(1-F80)*G80+'Исходные данные'!$B$18*F80*G80</f>
        <v>0.15141054515200006</v>
      </c>
    </row>
    <row r="81" spans="1:1" x14ac:dyDescent="0.3">
      <c r="A81" s="25" t="s">
        <v>285</v>
      </c>
    </row>
  </sheetData>
  <mergeCells count="6">
    <mergeCell ref="A52:E52"/>
    <mergeCell ref="A5:E5"/>
    <mergeCell ref="A23:E23"/>
    <mergeCell ref="A32:E32"/>
    <mergeCell ref="A58:E58"/>
    <mergeCell ref="A40:E40"/>
  </mergeCells>
  <pageMargins left="0.75" right="0.75" top="1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4"/>
  <sheetViews>
    <sheetView zoomScale="110" workbookViewId="0"/>
  </sheetViews>
  <sheetFormatPr defaultRowHeight="14.4" x14ac:dyDescent="0.3"/>
  <cols>
    <col min="1" max="1" width="5" customWidth="1"/>
    <col min="2" max="2" width="52" customWidth="1"/>
    <col min="3" max="5" width="16" customWidth="1"/>
  </cols>
  <sheetData>
    <row r="1" spans="1:5" ht="17.399999999999999" x14ac:dyDescent="0.3">
      <c r="A1" s="1" t="s">
        <v>286</v>
      </c>
    </row>
    <row r="2" spans="1:5" x14ac:dyDescent="0.3">
      <c r="A2" s="7" t="s">
        <v>287</v>
      </c>
    </row>
    <row r="4" spans="1:5" ht="31.2" x14ac:dyDescent="0.3">
      <c r="A4" s="2" t="s">
        <v>1</v>
      </c>
      <c r="B4" s="2" t="s">
        <v>288</v>
      </c>
      <c r="C4" s="2" t="s">
        <v>289</v>
      </c>
      <c r="D4" s="2" t="s">
        <v>290</v>
      </c>
      <c r="E4" s="2" t="s">
        <v>291</v>
      </c>
    </row>
    <row r="5" spans="1:5" ht="15.6" x14ac:dyDescent="0.3">
      <c r="A5" s="3">
        <v>1</v>
      </c>
      <c r="B5" s="5" t="s">
        <v>292</v>
      </c>
      <c r="C5" s="26">
        <f>'Табл. 1 объёмы (черн.)'!$F$31</f>
        <v>20209.474960755029</v>
      </c>
      <c r="D5" s="26">
        <f>'Табл. 1 объёмы (черн.)'!$F$32</f>
        <v>33543.964226867858</v>
      </c>
      <c r="E5" s="12">
        <f>D5/'Исходные данные'!$B$4</f>
        <v>32253.811756603707</v>
      </c>
    </row>
    <row r="6" spans="1:5" ht="46.8" x14ac:dyDescent="0.3">
      <c r="A6" s="3">
        <v>2</v>
      </c>
      <c r="B6" s="5" t="s">
        <v>293</v>
      </c>
      <c r="C6" s="26">
        <f>'Котлован (черн.)'!$C$60</f>
        <v>3851.618956403689</v>
      </c>
      <c r="D6" s="10">
        <v>0</v>
      </c>
      <c r="E6" s="12">
        <f>D6/'Исходные данные'!$B$4</f>
        <v>0</v>
      </c>
    </row>
    <row r="7" spans="1:5" ht="15.6" x14ac:dyDescent="0.3">
      <c r="A7" s="3"/>
      <c r="B7" s="27" t="s">
        <v>294</v>
      </c>
      <c r="C7" s="17">
        <f>SUM(C5:C6)</f>
        <v>24061.09391715872</v>
      </c>
      <c r="D7" s="17">
        <f>SUM(D5:D6)</f>
        <v>33543.964226867858</v>
      </c>
      <c r="E7" s="17">
        <f>SUM(E5:E6)</f>
        <v>32253.811756603707</v>
      </c>
    </row>
    <row r="8" spans="1:5" ht="31.2" x14ac:dyDescent="0.3">
      <c r="A8" s="3"/>
      <c r="B8" s="27" t="s">
        <v>295</v>
      </c>
      <c r="C8" s="44">
        <f>C7-E7</f>
        <v>-8192.7178394449875</v>
      </c>
      <c r="D8" s="41"/>
      <c r="E8" s="41"/>
    </row>
    <row r="10" spans="1:5" ht="15.6" x14ac:dyDescent="0.3">
      <c r="A10" s="40" t="s">
        <v>296</v>
      </c>
      <c r="B10" s="41"/>
      <c r="C10" s="41"/>
      <c r="D10" s="28">
        <f>ABS(C8)/MAX(C7,E7)</f>
        <v>0.25400774027173995</v>
      </c>
    </row>
    <row r="11" spans="1:5" ht="15.6" x14ac:dyDescent="0.3">
      <c r="A11" s="40" t="s">
        <v>297</v>
      </c>
      <c r="B11" s="41"/>
      <c r="C11" s="41"/>
      <c r="D11" s="15" t="str">
        <f>IF(D10&lt;=0.05,"баланс соблюдён",IF(C8&lt;0,"не хватает грунта — нужен перерасчёт Нср (Δh)","излишек грунта — нужен перерасчёт Нср (Δh)"))</f>
        <v>не хватает грунта — нужен перерасчёт Нср (Δh)</v>
      </c>
    </row>
    <row r="12" spans="1:5" ht="15.6" x14ac:dyDescent="0.3">
      <c r="A12" s="40" t="s">
        <v>298</v>
      </c>
      <c r="B12" s="41"/>
      <c r="C12" s="41"/>
      <c r="D12" s="17">
        <f>'Исходные данные'!$B$6*'Исходные данные'!$B$3^2</f>
        <v>150000</v>
      </c>
    </row>
    <row r="13" spans="1:5" ht="15.6" x14ac:dyDescent="0.3">
      <c r="A13" s="40" t="s">
        <v>299</v>
      </c>
      <c r="B13" s="41"/>
      <c r="C13" s="41"/>
      <c r="D13" s="29">
        <f>C8*'Исходные данные'!$B$4/D12</f>
        <v>-5.6802843686818587E-2</v>
      </c>
    </row>
    <row r="14" spans="1:5" ht="15.6" x14ac:dyDescent="0.3">
      <c r="A14" s="40" t="s">
        <v>300</v>
      </c>
      <c r="B14" s="41"/>
      <c r="C14" s="41"/>
      <c r="D14" s="30">
        <f>ROUND(D13,4)</f>
        <v>-5.6800000000000003E-2</v>
      </c>
    </row>
  </sheetData>
  <mergeCells count="6">
    <mergeCell ref="A10:C10"/>
    <mergeCell ref="A13:C13"/>
    <mergeCell ref="A11:C11"/>
    <mergeCell ref="A14:C14"/>
    <mergeCell ref="C8:E8"/>
    <mergeCell ref="A12:C12"/>
  </mergeCells>
  <pageMargins left="0.75" right="0.75" top="1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2"/>
  <sheetViews>
    <sheetView zoomScale="110" workbookViewId="0"/>
  </sheetViews>
  <sheetFormatPr defaultRowHeight="14.4" x14ac:dyDescent="0.3"/>
  <cols>
    <col min="1" max="1" width="16" customWidth="1"/>
    <col min="2" max="4" width="14" customWidth="1"/>
    <col min="6" max="11" width="9" customWidth="1"/>
  </cols>
  <sheetData>
    <row r="1" spans="1:11" ht="17.399999999999999" x14ac:dyDescent="0.3">
      <c r="A1" s="1" t="s">
        <v>301</v>
      </c>
    </row>
    <row r="3" spans="1:11" ht="15.6" x14ac:dyDescent="0.3">
      <c r="A3" s="5" t="s">
        <v>302</v>
      </c>
      <c r="B3" s="14">
        <f>'Табл. 2 баланс (черн.)'!$D$14</f>
        <v>-5.6800000000000003E-2</v>
      </c>
    </row>
    <row r="8" spans="1:11" ht="31.2" x14ac:dyDescent="0.3">
      <c r="A8" s="2" t="s">
        <v>48</v>
      </c>
      <c r="B8" s="2" t="s">
        <v>49</v>
      </c>
      <c r="C8" s="2" t="s">
        <v>303</v>
      </c>
      <c r="D8" s="2" t="s">
        <v>304</v>
      </c>
      <c r="F8" s="9" t="s">
        <v>305</v>
      </c>
    </row>
    <row r="9" spans="1:11" ht="15.6" x14ac:dyDescent="0.3">
      <c r="A9" s="3" t="s">
        <v>51</v>
      </c>
      <c r="B9" s="26">
        <f>'Исходные данные'!$B$9</f>
        <v>-0.25</v>
      </c>
      <c r="C9" s="16">
        <f t="shared" ref="C9:C32" si="0">$B$3</f>
        <v>-5.6800000000000003E-2</v>
      </c>
      <c r="D9" s="16">
        <f t="shared" ref="D9:D32" si="1">B9+C9</f>
        <v>-0.30680000000000002</v>
      </c>
      <c r="F9" s="11" t="s">
        <v>51</v>
      </c>
      <c r="G9" s="11" t="s">
        <v>52</v>
      </c>
      <c r="H9" s="11" t="s">
        <v>53</v>
      </c>
      <c r="I9" s="11" t="s">
        <v>54</v>
      </c>
      <c r="J9" s="11" t="s">
        <v>55</v>
      </c>
      <c r="K9" s="11" t="s">
        <v>56</v>
      </c>
    </row>
    <row r="10" spans="1:11" ht="15.6" x14ac:dyDescent="0.3">
      <c r="A10" s="3" t="s">
        <v>52</v>
      </c>
      <c r="B10" s="26">
        <f>'Исходные данные'!$B$10</f>
        <v>0.15</v>
      </c>
      <c r="C10" s="16">
        <f t="shared" si="0"/>
        <v>-5.6800000000000003E-2</v>
      </c>
      <c r="D10" s="16">
        <f t="shared" si="1"/>
        <v>9.3199999999999991E-2</v>
      </c>
      <c r="F10" s="16">
        <f>D9</f>
        <v>-0.30680000000000002</v>
      </c>
      <c r="G10" s="16">
        <f>D10</f>
        <v>9.3199999999999991E-2</v>
      </c>
      <c r="H10" s="16">
        <f>D11</f>
        <v>0.28320000000000001</v>
      </c>
      <c r="I10" s="16">
        <f>D12</f>
        <v>0.41319999999999996</v>
      </c>
      <c r="J10" s="16">
        <f>D13</f>
        <v>0.60320000000000007</v>
      </c>
      <c r="K10" s="16">
        <f>D14</f>
        <v>0.79320000000000002</v>
      </c>
    </row>
    <row r="11" spans="1:11" ht="15.6" x14ac:dyDescent="0.3">
      <c r="A11" s="3" t="s">
        <v>53</v>
      </c>
      <c r="B11" s="26">
        <f>'Исходные данные'!$B$11</f>
        <v>0.34</v>
      </c>
      <c r="C11" s="16">
        <f t="shared" si="0"/>
        <v>-5.6800000000000003E-2</v>
      </c>
      <c r="D11" s="16">
        <f t="shared" si="1"/>
        <v>0.28320000000000001</v>
      </c>
      <c r="F11" s="11" t="s">
        <v>57</v>
      </c>
      <c r="G11" s="11" t="s">
        <v>58</v>
      </c>
      <c r="H11" s="11" t="s">
        <v>59</v>
      </c>
      <c r="I11" s="11" t="s">
        <v>60</v>
      </c>
      <c r="J11" s="11" t="s">
        <v>61</v>
      </c>
      <c r="K11" s="11" t="s">
        <v>62</v>
      </c>
    </row>
    <row r="12" spans="1:11" ht="15.6" x14ac:dyDescent="0.3">
      <c r="A12" s="3" t="s">
        <v>54</v>
      </c>
      <c r="B12" s="26">
        <f>'Исходные данные'!$B$12</f>
        <v>0.47</v>
      </c>
      <c r="C12" s="16">
        <f t="shared" si="0"/>
        <v>-5.6800000000000003E-2</v>
      </c>
      <c r="D12" s="16">
        <f t="shared" si="1"/>
        <v>0.41319999999999996</v>
      </c>
      <c r="F12" s="16">
        <f>D15</f>
        <v>-0.54679999999999995</v>
      </c>
      <c r="G12" s="16">
        <f>D16</f>
        <v>-0.36680000000000001</v>
      </c>
      <c r="H12" s="16">
        <f>D17</f>
        <v>0.22320000000000001</v>
      </c>
      <c r="I12" s="16">
        <f>D18</f>
        <v>0.4632</v>
      </c>
      <c r="J12" s="16">
        <f>D19</f>
        <v>0.78320000000000001</v>
      </c>
      <c r="K12" s="16">
        <f>D20</f>
        <v>0.41319999999999996</v>
      </c>
    </row>
    <row r="13" spans="1:11" ht="15.6" x14ac:dyDescent="0.3">
      <c r="A13" s="3" t="s">
        <v>55</v>
      </c>
      <c r="B13" s="26">
        <f>'Исходные данные'!$B$13</f>
        <v>0.66</v>
      </c>
      <c r="C13" s="16">
        <f t="shared" si="0"/>
        <v>-5.6800000000000003E-2</v>
      </c>
      <c r="D13" s="16">
        <f t="shared" si="1"/>
        <v>0.60320000000000007</v>
      </c>
      <c r="F13" s="11" t="s">
        <v>63</v>
      </c>
      <c r="G13" s="11" t="s">
        <v>64</v>
      </c>
      <c r="H13" s="11" t="s">
        <v>65</v>
      </c>
      <c r="I13" s="11" t="s">
        <v>66</v>
      </c>
      <c r="J13" s="11" t="s">
        <v>67</v>
      </c>
      <c r="K13" s="11" t="s">
        <v>68</v>
      </c>
    </row>
    <row r="14" spans="1:11" ht="15.6" x14ac:dyDescent="0.3">
      <c r="A14" s="3" t="s">
        <v>56</v>
      </c>
      <c r="B14" s="26">
        <f>'Исходные данные'!$B$14</f>
        <v>0.85</v>
      </c>
      <c r="C14" s="16">
        <f t="shared" si="0"/>
        <v>-5.6800000000000003E-2</v>
      </c>
      <c r="D14" s="16">
        <f t="shared" si="1"/>
        <v>0.79320000000000002</v>
      </c>
      <c r="F14" s="16">
        <f>D21</f>
        <v>-0.29680000000000001</v>
      </c>
      <c r="G14" s="16">
        <f>D22</f>
        <v>-0.48680000000000001</v>
      </c>
      <c r="H14" s="16">
        <f>D23</f>
        <v>-0.33680000000000004</v>
      </c>
      <c r="I14" s="16">
        <f>D24</f>
        <v>8.320000000000001E-2</v>
      </c>
      <c r="J14" s="16">
        <f>D25</f>
        <v>0.30319999999999997</v>
      </c>
      <c r="K14" s="16">
        <f>D26</f>
        <v>0.70320000000000005</v>
      </c>
    </row>
    <row r="15" spans="1:11" ht="15.6" x14ac:dyDescent="0.3">
      <c r="A15" s="3" t="s">
        <v>57</v>
      </c>
      <c r="B15" s="26">
        <f>'Исходные данные'!$B$15</f>
        <v>-0.49</v>
      </c>
      <c r="C15" s="16">
        <f t="shared" si="0"/>
        <v>-5.6800000000000003E-2</v>
      </c>
      <c r="D15" s="16">
        <f t="shared" si="1"/>
        <v>-0.54679999999999995</v>
      </c>
      <c r="F15" s="11" t="s">
        <v>69</v>
      </c>
      <c r="G15" s="11" t="s">
        <v>70</v>
      </c>
      <c r="H15" s="11" t="s">
        <v>71</v>
      </c>
      <c r="I15" s="11" t="s">
        <v>72</v>
      </c>
      <c r="J15" s="11" t="s">
        <v>73</v>
      </c>
      <c r="K15" s="11" t="s">
        <v>74</v>
      </c>
    </row>
    <row r="16" spans="1:11" ht="15.6" x14ac:dyDescent="0.3">
      <c r="A16" s="3" t="s">
        <v>58</v>
      </c>
      <c r="B16" s="26">
        <f>'Исходные данные'!$B$16</f>
        <v>-0.31</v>
      </c>
      <c r="C16" s="16">
        <f t="shared" si="0"/>
        <v>-5.6800000000000003E-2</v>
      </c>
      <c r="D16" s="16">
        <f t="shared" si="1"/>
        <v>-0.36680000000000001</v>
      </c>
      <c r="F16" s="16">
        <f>D27</f>
        <v>-0.45680000000000004</v>
      </c>
      <c r="G16" s="16">
        <f>D28</f>
        <v>-0.70679999999999998</v>
      </c>
      <c r="H16" s="16">
        <f>D29</f>
        <v>-0.57679999999999998</v>
      </c>
      <c r="I16" s="16">
        <f>D30</f>
        <v>-0.33680000000000004</v>
      </c>
      <c r="J16" s="16">
        <f>D31</f>
        <v>-0.48680000000000001</v>
      </c>
      <c r="K16" s="16">
        <f>D32</f>
        <v>8.320000000000001E-2</v>
      </c>
    </row>
    <row r="17" spans="1:4" ht="15.6" x14ac:dyDescent="0.3">
      <c r="A17" s="3" t="s">
        <v>59</v>
      </c>
      <c r="B17" s="26">
        <f>'Исходные данные'!$B$17</f>
        <v>0.28000000000000003</v>
      </c>
      <c r="C17" s="16">
        <f t="shared" si="0"/>
        <v>-5.6800000000000003E-2</v>
      </c>
      <c r="D17" s="16">
        <f t="shared" si="1"/>
        <v>0.22320000000000001</v>
      </c>
    </row>
    <row r="18" spans="1:4" ht="15.6" x14ac:dyDescent="0.3">
      <c r="A18" s="3" t="s">
        <v>60</v>
      </c>
      <c r="B18" s="26">
        <f>'Исходные данные'!$B$18</f>
        <v>0.52</v>
      </c>
      <c r="C18" s="16">
        <f t="shared" si="0"/>
        <v>-5.6800000000000003E-2</v>
      </c>
      <c r="D18" s="16">
        <f t="shared" si="1"/>
        <v>0.4632</v>
      </c>
    </row>
    <row r="19" spans="1:4" ht="15.6" x14ac:dyDescent="0.3">
      <c r="A19" s="3" t="s">
        <v>61</v>
      </c>
      <c r="B19" s="26">
        <f>'Исходные данные'!$B$19</f>
        <v>0.84</v>
      </c>
      <c r="C19" s="16">
        <f t="shared" si="0"/>
        <v>-5.6800000000000003E-2</v>
      </c>
      <c r="D19" s="16">
        <f t="shared" si="1"/>
        <v>0.78320000000000001</v>
      </c>
    </row>
    <row r="20" spans="1:4" ht="15.6" x14ac:dyDescent="0.3">
      <c r="A20" s="3" t="s">
        <v>62</v>
      </c>
      <c r="B20" s="26">
        <f>'Исходные данные'!$B$20</f>
        <v>0.47</v>
      </c>
      <c r="C20" s="16">
        <f t="shared" si="0"/>
        <v>-5.6800000000000003E-2</v>
      </c>
      <c r="D20" s="16">
        <f t="shared" si="1"/>
        <v>0.41319999999999996</v>
      </c>
    </row>
    <row r="21" spans="1:4" ht="15.6" x14ac:dyDescent="0.3">
      <c r="A21" s="3" t="s">
        <v>63</v>
      </c>
      <c r="B21" s="26">
        <f>'Исходные данные'!$B$21</f>
        <v>-0.24</v>
      </c>
      <c r="C21" s="16">
        <f t="shared" si="0"/>
        <v>-5.6800000000000003E-2</v>
      </c>
      <c r="D21" s="16">
        <f t="shared" si="1"/>
        <v>-0.29680000000000001</v>
      </c>
    </row>
    <row r="22" spans="1:4" ht="15.6" x14ac:dyDescent="0.3">
      <c r="A22" s="3" t="s">
        <v>64</v>
      </c>
      <c r="B22" s="26">
        <f>'Исходные данные'!$B$22</f>
        <v>-0.43</v>
      </c>
      <c r="C22" s="16">
        <f t="shared" si="0"/>
        <v>-5.6800000000000003E-2</v>
      </c>
      <c r="D22" s="16">
        <f t="shared" si="1"/>
        <v>-0.48680000000000001</v>
      </c>
    </row>
    <row r="23" spans="1:4" ht="15.6" x14ac:dyDescent="0.3">
      <c r="A23" s="3" t="s">
        <v>65</v>
      </c>
      <c r="B23" s="26">
        <f>'Исходные данные'!$B$23</f>
        <v>-0.28000000000000003</v>
      </c>
      <c r="C23" s="16">
        <f t="shared" si="0"/>
        <v>-5.6800000000000003E-2</v>
      </c>
      <c r="D23" s="16">
        <f t="shared" si="1"/>
        <v>-0.33680000000000004</v>
      </c>
    </row>
    <row r="24" spans="1:4" ht="15.6" x14ac:dyDescent="0.3">
      <c r="A24" s="3" t="s">
        <v>66</v>
      </c>
      <c r="B24" s="26">
        <f>'Исходные данные'!$B$24</f>
        <v>0.14000000000000001</v>
      </c>
      <c r="C24" s="16">
        <f t="shared" si="0"/>
        <v>-5.6800000000000003E-2</v>
      </c>
      <c r="D24" s="16">
        <f t="shared" si="1"/>
        <v>8.320000000000001E-2</v>
      </c>
    </row>
    <row r="25" spans="1:4" ht="15.6" x14ac:dyDescent="0.3">
      <c r="A25" s="3" t="s">
        <v>67</v>
      </c>
      <c r="B25" s="26">
        <f>'Исходные данные'!$B$25</f>
        <v>0.36</v>
      </c>
      <c r="C25" s="16">
        <f t="shared" si="0"/>
        <v>-5.6800000000000003E-2</v>
      </c>
      <c r="D25" s="16">
        <f t="shared" si="1"/>
        <v>0.30319999999999997</v>
      </c>
    </row>
    <row r="26" spans="1:4" ht="15.6" x14ac:dyDescent="0.3">
      <c r="A26" s="3" t="s">
        <v>68</v>
      </c>
      <c r="B26" s="26">
        <f>'Исходные данные'!$B$26</f>
        <v>0.76</v>
      </c>
      <c r="C26" s="16">
        <f t="shared" si="0"/>
        <v>-5.6800000000000003E-2</v>
      </c>
      <c r="D26" s="16">
        <f t="shared" si="1"/>
        <v>0.70320000000000005</v>
      </c>
    </row>
    <row r="27" spans="1:4" ht="15.6" x14ac:dyDescent="0.3">
      <c r="A27" s="3" t="s">
        <v>69</v>
      </c>
      <c r="B27" s="26">
        <f>'Исходные данные'!$B$27</f>
        <v>-0.4</v>
      </c>
      <c r="C27" s="16">
        <f t="shared" si="0"/>
        <v>-5.6800000000000003E-2</v>
      </c>
      <c r="D27" s="16">
        <f t="shared" si="1"/>
        <v>-0.45680000000000004</v>
      </c>
    </row>
    <row r="28" spans="1:4" ht="15.6" x14ac:dyDescent="0.3">
      <c r="A28" s="3" t="s">
        <v>70</v>
      </c>
      <c r="B28" s="26">
        <f>'Исходные данные'!$B$28</f>
        <v>-0.65</v>
      </c>
      <c r="C28" s="16">
        <f t="shared" si="0"/>
        <v>-5.6800000000000003E-2</v>
      </c>
      <c r="D28" s="16">
        <f t="shared" si="1"/>
        <v>-0.70679999999999998</v>
      </c>
    </row>
    <row r="29" spans="1:4" ht="15.6" x14ac:dyDescent="0.3">
      <c r="A29" s="3" t="s">
        <v>71</v>
      </c>
      <c r="B29" s="26">
        <f>'Исходные данные'!$B$29</f>
        <v>-0.52</v>
      </c>
      <c r="C29" s="16">
        <f t="shared" si="0"/>
        <v>-5.6800000000000003E-2</v>
      </c>
      <c r="D29" s="16">
        <f t="shared" si="1"/>
        <v>-0.57679999999999998</v>
      </c>
    </row>
    <row r="30" spans="1:4" ht="15.6" x14ac:dyDescent="0.3">
      <c r="A30" s="3" t="s">
        <v>72</v>
      </c>
      <c r="B30" s="26">
        <f>'Исходные данные'!$B$30</f>
        <v>-0.28000000000000003</v>
      </c>
      <c r="C30" s="16">
        <f t="shared" si="0"/>
        <v>-5.6800000000000003E-2</v>
      </c>
      <c r="D30" s="16">
        <f t="shared" si="1"/>
        <v>-0.33680000000000004</v>
      </c>
    </row>
    <row r="31" spans="1:4" ht="15.6" x14ac:dyDescent="0.3">
      <c r="A31" s="3" t="s">
        <v>73</v>
      </c>
      <c r="B31" s="26">
        <f>'Исходные данные'!$B$31</f>
        <v>-0.43</v>
      </c>
      <c r="C31" s="16">
        <f t="shared" si="0"/>
        <v>-5.6800000000000003E-2</v>
      </c>
      <c r="D31" s="16">
        <f t="shared" si="1"/>
        <v>-0.48680000000000001</v>
      </c>
    </row>
    <row r="32" spans="1:4" ht="15.6" x14ac:dyDescent="0.3">
      <c r="A32" s="3" t="s">
        <v>74</v>
      </c>
      <c r="B32" s="26">
        <f>'Исходные данные'!$B$32</f>
        <v>0.14000000000000001</v>
      </c>
      <c r="C32" s="16">
        <f t="shared" si="0"/>
        <v>-5.6800000000000003E-2</v>
      </c>
      <c r="D32" s="16">
        <f t="shared" si="1"/>
        <v>8.320000000000001E-2</v>
      </c>
    </row>
  </sheetData>
  <pageMargins left="0.75" right="0.75" top="1" bottom="1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2"/>
  <sheetViews>
    <sheetView zoomScale="110" workbookViewId="0"/>
  </sheetViews>
  <sheetFormatPr defaultRowHeight="14.4" x14ac:dyDescent="0.3"/>
  <cols>
    <col min="1" max="1" width="7" customWidth="1"/>
    <col min="2" max="2" width="16" customWidth="1"/>
    <col min="3" max="3" width="11" customWidth="1"/>
    <col min="4" max="4" width="10" customWidth="1"/>
    <col min="5" max="5" width="11" customWidth="1"/>
    <col min="6" max="6" width="10" customWidth="1"/>
    <col min="7" max="8" width="18" customWidth="1"/>
  </cols>
  <sheetData>
    <row r="1" spans="1:8" ht="17.399999999999999" x14ac:dyDescent="0.3">
      <c r="A1" s="1" t="s">
        <v>17</v>
      </c>
    </row>
    <row r="2" spans="1:8" ht="15.6" x14ac:dyDescent="0.3">
      <c r="A2" s="13" t="s">
        <v>76</v>
      </c>
    </row>
    <row r="4" spans="1:8" ht="31.2" x14ac:dyDescent="0.3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83</v>
      </c>
      <c r="H4" s="2" t="s">
        <v>84</v>
      </c>
    </row>
    <row r="5" spans="1:8" ht="31.2" x14ac:dyDescent="0.3">
      <c r="A5" s="3">
        <v>1</v>
      </c>
      <c r="B5" s="3" t="s">
        <v>85</v>
      </c>
      <c r="C5" s="3" t="s">
        <v>51</v>
      </c>
      <c r="D5" s="14">
        <f>'Отметки (оконч.)'!$D$9</f>
        <v>-0.30680000000000002</v>
      </c>
      <c r="E5" s="3" t="s">
        <v>52</v>
      </c>
      <c r="F5" s="14">
        <f>'Отметки (оконч.)'!$D$10</f>
        <v>9.3199999999999991E-2</v>
      </c>
      <c r="G5" s="12">
        <f>'Исходные данные'!$B$3*ABS(D5)/(ABS(D5)+ABS(F5))</f>
        <v>76.7</v>
      </c>
      <c r="H5" s="12">
        <f>'Исходные данные'!$B$3-G5</f>
        <v>23.299999999999997</v>
      </c>
    </row>
    <row r="6" spans="1:8" ht="15.6" x14ac:dyDescent="0.3">
      <c r="A6" s="3">
        <v>2</v>
      </c>
      <c r="B6" s="3" t="s">
        <v>86</v>
      </c>
      <c r="C6" s="3" t="s">
        <v>52</v>
      </c>
      <c r="D6" s="14">
        <f>'Отметки (оконч.)'!$D$10</f>
        <v>9.3199999999999991E-2</v>
      </c>
      <c r="E6" s="3" t="s">
        <v>58</v>
      </c>
      <c r="F6" s="14">
        <f>'Отметки (оконч.)'!$D$16</f>
        <v>-0.36680000000000001</v>
      </c>
      <c r="G6" s="12">
        <f>'Исходные данные'!$B$3*ABS(D6)/(ABS(D6)+ABS(F6))</f>
        <v>20.260869565217387</v>
      </c>
      <c r="H6" s="12">
        <f>'Исходные данные'!$B$3-G6</f>
        <v>79.739130434782609</v>
      </c>
    </row>
    <row r="7" spans="1:8" ht="31.2" x14ac:dyDescent="0.3">
      <c r="A7" s="3">
        <v>3</v>
      </c>
      <c r="B7" s="3" t="s">
        <v>85</v>
      </c>
      <c r="C7" s="3" t="s">
        <v>58</v>
      </c>
      <c r="D7" s="14">
        <f>'Отметки (оконч.)'!$D$16</f>
        <v>-0.36680000000000001</v>
      </c>
      <c r="E7" s="3" t="s">
        <v>59</v>
      </c>
      <c r="F7" s="14">
        <f>'Отметки (оконч.)'!$D$17</f>
        <v>0.22320000000000001</v>
      </c>
      <c r="G7" s="12">
        <f>'Исходные данные'!$B$3*ABS(D7)/(ABS(D7)+ABS(F7))</f>
        <v>62.169491525423723</v>
      </c>
      <c r="H7" s="12">
        <f>'Исходные данные'!$B$3-G7</f>
        <v>37.830508474576277</v>
      </c>
    </row>
    <row r="8" spans="1:8" ht="15.6" x14ac:dyDescent="0.3">
      <c r="A8" s="3">
        <v>4</v>
      </c>
      <c r="B8" s="3" t="s">
        <v>86</v>
      </c>
      <c r="C8" s="3" t="s">
        <v>59</v>
      </c>
      <c r="D8" s="14">
        <f>'Отметки (оконч.)'!$D$17</f>
        <v>0.22320000000000001</v>
      </c>
      <c r="E8" s="3" t="s">
        <v>65</v>
      </c>
      <c r="F8" s="14">
        <f>'Отметки (оконч.)'!$D$23</f>
        <v>-0.33680000000000004</v>
      </c>
      <c r="G8" s="12">
        <f>'Исходные данные'!$B$3*ABS(D8)/(ABS(D8)+ABS(F8))</f>
        <v>39.857142857142854</v>
      </c>
      <c r="H8" s="12">
        <f>'Исходные данные'!$B$3-G8</f>
        <v>60.142857142857146</v>
      </c>
    </row>
    <row r="9" spans="1:8" ht="31.2" x14ac:dyDescent="0.3">
      <c r="A9" s="3">
        <v>5</v>
      </c>
      <c r="B9" s="3" t="s">
        <v>85</v>
      </c>
      <c r="C9" s="3" t="s">
        <v>65</v>
      </c>
      <c r="D9" s="14">
        <f>'Отметки (оконч.)'!$D$23</f>
        <v>-0.33680000000000004</v>
      </c>
      <c r="E9" s="3" t="s">
        <v>66</v>
      </c>
      <c r="F9" s="14">
        <f>'Отметки (оконч.)'!$D$24</f>
        <v>8.320000000000001E-2</v>
      </c>
      <c r="G9" s="12">
        <f>'Исходные данные'!$B$3*ABS(D9)/(ABS(D9)+ABS(F9))</f>
        <v>80.190476190476204</v>
      </c>
      <c r="H9" s="12">
        <f>'Исходные данные'!$B$3-G9</f>
        <v>19.809523809523796</v>
      </c>
    </row>
    <row r="10" spans="1:8" ht="15.6" x14ac:dyDescent="0.3">
      <c r="A10" s="3">
        <v>6</v>
      </c>
      <c r="B10" s="3" t="s">
        <v>86</v>
      </c>
      <c r="C10" s="3" t="s">
        <v>66</v>
      </c>
      <c r="D10" s="14">
        <f>'Отметки (оконч.)'!$D$24</f>
        <v>8.320000000000001E-2</v>
      </c>
      <c r="E10" s="3" t="s">
        <v>72</v>
      </c>
      <c r="F10" s="14">
        <f>'Отметки (оконч.)'!$D$30</f>
        <v>-0.33680000000000004</v>
      </c>
      <c r="G10" s="12">
        <f>'Исходные данные'!$B$3*ABS(D10)/(ABS(D10)+ABS(F10))</f>
        <v>19.809523809523807</v>
      </c>
      <c r="H10" s="12">
        <f>'Исходные данные'!$B$3-G10</f>
        <v>80.19047619047619</v>
      </c>
    </row>
    <row r="11" spans="1:8" ht="15.6" x14ac:dyDescent="0.3">
      <c r="A11" s="3">
        <v>7</v>
      </c>
      <c r="B11" s="3" t="s">
        <v>86</v>
      </c>
      <c r="C11" s="3" t="s">
        <v>67</v>
      </c>
      <c r="D11" s="14">
        <f>'Отметки (оконч.)'!$D$25</f>
        <v>0.30319999999999997</v>
      </c>
      <c r="E11" s="3" t="s">
        <v>73</v>
      </c>
      <c r="F11" s="14">
        <f>'Отметки (оконч.)'!$D$31</f>
        <v>-0.48680000000000001</v>
      </c>
      <c r="G11" s="12">
        <f>'Исходные данные'!$B$3*ABS(D11)/(ABS(D11)+ABS(F11))</f>
        <v>38.379746835443029</v>
      </c>
      <c r="H11" s="12">
        <f>'Исходные данные'!$B$3-G11</f>
        <v>61.620253164556971</v>
      </c>
    </row>
    <row r="12" spans="1:8" ht="31.2" x14ac:dyDescent="0.3">
      <c r="A12" s="3">
        <v>8</v>
      </c>
      <c r="B12" s="3" t="s">
        <v>85</v>
      </c>
      <c r="C12" s="3" t="s">
        <v>73</v>
      </c>
      <c r="D12" s="14">
        <f>'Отметки (оконч.)'!$D$31</f>
        <v>-0.48680000000000001</v>
      </c>
      <c r="E12" s="3" t="s">
        <v>74</v>
      </c>
      <c r="F12" s="14">
        <f>'Отметки (оконч.)'!$D$32</f>
        <v>8.320000000000001E-2</v>
      </c>
      <c r="G12" s="12">
        <f>'Исходные данные'!$B$3*ABS(D12)/(ABS(D12)+ABS(F12))</f>
        <v>85.403508771929822</v>
      </c>
      <c r="H12" s="12">
        <f>'Исходные данные'!$B$3-G12</f>
        <v>14.596491228070178</v>
      </c>
    </row>
  </sheetData>
  <pageMargins left="0.75" right="0.75" top="1" bottom="1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33"/>
  <sheetViews>
    <sheetView zoomScale="110" workbookViewId="0"/>
  </sheetViews>
  <sheetFormatPr defaultRowHeight="14.4" x14ac:dyDescent="0.3"/>
  <cols>
    <col min="1" max="1" width="10" customWidth="1"/>
    <col min="2" max="2" width="11" customWidth="1"/>
    <col min="3" max="3" width="9" customWidth="1"/>
    <col min="4" max="4" width="11" customWidth="1"/>
    <col min="5" max="5" width="10" customWidth="1"/>
    <col min="6" max="6" width="11" customWidth="1"/>
    <col min="7" max="7" width="9" customWidth="1"/>
    <col min="8" max="8" width="11" customWidth="1"/>
    <col min="9" max="9" width="13" customWidth="1"/>
  </cols>
  <sheetData>
    <row r="1" spans="1:9" ht="17.399999999999999" x14ac:dyDescent="0.3">
      <c r="A1" s="1" t="s">
        <v>306</v>
      </c>
    </row>
    <row r="2" spans="1:9" ht="15.6" x14ac:dyDescent="0.3">
      <c r="A2" s="13" t="s">
        <v>88</v>
      </c>
    </row>
    <row r="4" spans="1:9" x14ac:dyDescent="0.3">
      <c r="A4" s="42" t="s">
        <v>89</v>
      </c>
      <c r="B4" s="41"/>
      <c r="C4" s="41"/>
      <c r="D4" s="41"/>
      <c r="E4" s="42" t="s">
        <v>90</v>
      </c>
      <c r="F4" s="41"/>
      <c r="G4" s="41"/>
      <c r="H4" s="41"/>
      <c r="I4" s="41"/>
    </row>
    <row r="5" spans="1:9" ht="31.95" customHeight="1" x14ac:dyDescent="0.3">
      <c r="A5" s="2" t="s">
        <v>91</v>
      </c>
      <c r="B5" s="2" t="s">
        <v>92</v>
      </c>
      <c r="C5" s="2" t="s">
        <v>93</v>
      </c>
      <c r="D5" s="2" t="s">
        <v>94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95</v>
      </c>
    </row>
    <row r="6" spans="1:9" ht="15.6" x14ac:dyDescent="0.3">
      <c r="A6" s="15" t="s">
        <v>96</v>
      </c>
      <c r="B6" s="12">
        <f>'Исходные данные'!$B$3^2-$F$6</f>
        <v>9763.9608695652169</v>
      </c>
      <c r="C6" s="16">
        <f>(0+ABS('Отметки (оконч.)'!$D$9)+ABS('Отметки (оконч.)'!$D$15)+ABS('Отметки (оконч.)'!$D$16)+0)/5</f>
        <v>0.24407999999999999</v>
      </c>
      <c r="D6" s="12">
        <f>B6*C6</f>
        <v>2383.1875690434781</v>
      </c>
      <c r="E6" s="15" t="s">
        <v>97</v>
      </c>
      <c r="F6" s="12">
        <f>'ЛНР (оконч.)'!$G$6*'ЛНР (оконч.)'!$H$5/2</f>
        <v>236.03913043478252</v>
      </c>
      <c r="G6" s="16">
        <f>(0+ABS('Отметки (оконч.)'!$D$10)+0)/3</f>
        <v>3.1066666666666663E-2</v>
      </c>
      <c r="H6" s="12">
        <f>F6*G6</f>
        <v>7.3329489855072429</v>
      </c>
      <c r="I6" s="12">
        <f>H6/'Исходные данные'!$B$4</f>
        <v>7.0509124860646564</v>
      </c>
    </row>
    <row r="7" spans="1:9" ht="15.6" x14ac:dyDescent="0.3">
      <c r="A7" s="15" t="s">
        <v>98</v>
      </c>
      <c r="B7" s="12">
        <f>'ЛНР (оконч.)'!$H$6*'ЛНР (оконч.)'!$G$7/2</f>
        <v>2478.6705969049372</v>
      </c>
      <c r="C7" s="16">
        <f>(0+ABS('Отметки (оконч.)'!$D$16)+0)/3</f>
        <v>0.12226666666666668</v>
      </c>
      <c r="D7" s="12">
        <f>B7*C7</f>
        <v>303.0587916482437</v>
      </c>
      <c r="E7" s="15" t="s">
        <v>99</v>
      </c>
      <c r="F7" s="12">
        <f>'Исходные данные'!$B$3^2-$B$7</f>
        <v>7521.3294030950628</v>
      </c>
      <c r="G7" s="16">
        <f>(0+ABS('Отметки (оконч.)'!$D$17)+ABS('Отметки (оконч.)'!$D$11)+ABS('Отметки (оконч.)'!$D$10)+0)/5</f>
        <v>0.11991999999999998</v>
      </c>
      <c r="H7" s="12">
        <f>F7*G7</f>
        <v>901.95782201915983</v>
      </c>
      <c r="I7" s="12">
        <f>H7/'Исходные данные'!$B$4</f>
        <v>867.26713655688445</v>
      </c>
    </row>
    <row r="8" spans="1:9" ht="15.6" x14ac:dyDescent="0.3">
      <c r="A8" s="3" t="s">
        <v>100</v>
      </c>
      <c r="B8" s="3" t="s">
        <v>100</v>
      </c>
      <c r="C8" s="3" t="s">
        <v>100</v>
      </c>
      <c r="D8" s="3" t="s">
        <v>100</v>
      </c>
      <c r="E8" s="15" t="s">
        <v>101</v>
      </c>
      <c r="F8" s="12">
        <f>'Исходные данные'!$B$3^2</f>
        <v>10000</v>
      </c>
      <c r="G8" s="16">
        <f>(ABS('Отметки (оконч.)'!$D$17)+ABS('Отметки (оконч.)'!$D$18)+ABS('Отметки (оконч.)'!$D$12)+ABS('Отметки (оконч.)'!$D$11))/4</f>
        <v>0.34570000000000001</v>
      </c>
      <c r="H8" s="12">
        <f>F8*G8</f>
        <v>3457</v>
      </c>
      <c r="I8" s="12">
        <f>H8/'Исходные данные'!$B$4</f>
        <v>3324.0384615384614</v>
      </c>
    </row>
    <row r="9" spans="1:9" ht="15.6" x14ac:dyDescent="0.3">
      <c r="A9" s="3" t="s">
        <v>100</v>
      </c>
      <c r="B9" s="3" t="s">
        <v>100</v>
      </c>
      <c r="C9" s="3" t="s">
        <v>100</v>
      </c>
      <c r="D9" s="3" t="s">
        <v>100</v>
      </c>
      <c r="E9" s="15" t="s">
        <v>102</v>
      </c>
      <c r="F9" s="12">
        <f>'Исходные данные'!$B$3^2</f>
        <v>10000</v>
      </c>
      <c r="G9" s="16">
        <f>(ABS('Отметки (оконч.)'!$D$18)+ABS('Отметки (оконч.)'!$D$19)+ABS('Отметки (оконч.)'!$D$13)+ABS('Отметки (оконч.)'!$D$12))/4</f>
        <v>0.56569999999999998</v>
      </c>
      <c r="H9" s="12">
        <f>F9*G9</f>
        <v>5657</v>
      </c>
      <c r="I9" s="12">
        <f>H9/'Исходные данные'!$B$4</f>
        <v>5439.4230769230771</v>
      </c>
    </row>
    <row r="10" spans="1:9" ht="15.6" x14ac:dyDescent="0.3">
      <c r="A10" s="3" t="s">
        <v>100</v>
      </c>
      <c r="B10" s="3" t="s">
        <v>100</v>
      </c>
      <c r="C10" s="3" t="s">
        <v>100</v>
      </c>
      <c r="D10" s="3" t="s">
        <v>100</v>
      </c>
      <c r="E10" s="15" t="s">
        <v>103</v>
      </c>
      <c r="F10" s="12">
        <f>'Исходные данные'!$B$3^2</f>
        <v>10000</v>
      </c>
      <c r="G10" s="16">
        <f>(ABS('Отметки (оконч.)'!$D$19)+ABS('Отметки (оконч.)'!$D$20)+ABS('Отметки (оконч.)'!$D$14)+ABS('Отметки (оконч.)'!$D$13))/4</f>
        <v>0.6482</v>
      </c>
      <c r="H10" s="12">
        <f>F10*G10</f>
        <v>6482</v>
      </c>
      <c r="I10" s="12">
        <f>H10/'Исходные данные'!$B$4</f>
        <v>6232.6923076923076</v>
      </c>
    </row>
    <row r="11" spans="1:9" ht="15.6" x14ac:dyDescent="0.3">
      <c r="A11" s="15" t="s">
        <v>104</v>
      </c>
      <c r="B11" s="12">
        <f>'Исходные данные'!$B$3^2</f>
        <v>10000</v>
      </c>
      <c r="C11" s="16">
        <f>(ABS('Отметки (оконч.)'!$D$21)+ABS('Отметки (оконч.)'!$D$22)+ABS('Отметки (оконч.)'!$D$16)+ABS('Отметки (оконч.)'!$D$15))/4</f>
        <v>0.42430000000000001</v>
      </c>
      <c r="D11" s="12">
        <f>B11*C11</f>
        <v>4243</v>
      </c>
      <c r="E11" s="3" t="s">
        <v>100</v>
      </c>
      <c r="F11" s="3" t="s">
        <v>100</v>
      </c>
      <c r="G11" s="3" t="s">
        <v>100</v>
      </c>
      <c r="H11" s="3" t="s">
        <v>100</v>
      </c>
      <c r="I11" s="3" t="s">
        <v>100</v>
      </c>
    </row>
    <row r="12" spans="1:9" ht="15.6" x14ac:dyDescent="0.3">
      <c r="A12" s="15" t="s">
        <v>105</v>
      </c>
      <c r="B12" s="12">
        <f>'Исходные данные'!$B$3^2-$F$12</f>
        <v>9246.0920096852296</v>
      </c>
      <c r="C12" s="16">
        <f>(0+ABS('Отметки (оконч.)'!$D$16)+ABS('Отметки (оконч.)'!$D$22)+ABS('Отметки (оконч.)'!$D$23)+0)/5</f>
        <v>0.23808000000000001</v>
      </c>
      <c r="D12" s="12">
        <f>B12*C12</f>
        <v>2201.3095856658597</v>
      </c>
      <c r="E12" s="15" t="s">
        <v>106</v>
      </c>
      <c r="F12" s="12">
        <f>'ЛНР (оконч.)'!$G$8*'ЛНР (оконч.)'!$H$7/2</f>
        <v>753.90799031477002</v>
      </c>
      <c r="G12" s="16">
        <f>(0+ABS('Отметки (оконч.)'!$D$17)+0)/3</f>
        <v>7.4400000000000008E-2</v>
      </c>
      <c r="H12" s="12">
        <f>F12*G12</f>
        <v>56.090754479418898</v>
      </c>
      <c r="I12" s="12">
        <f>H12/'Исходные данные'!$B$4</f>
        <v>53.933417768672015</v>
      </c>
    </row>
    <row r="13" spans="1:9" ht="15.6" x14ac:dyDescent="0.3">
      <c r="A13" s="15" t="s">
        <v>107</v>
      </c>
      <c r="B13" s="12">
        <f>'ЛНР (оконч.)'!$H$8*'ЛНР (оконч.)'!$G$9/2</f>
        <v>2411.4421768707489</v>
      </c>
      <c r="C13" s="16">
        <f>(0+ABS('Отметки (оконч.)'!$D$23)+0)/3</f>
        <v>0.11226666666666668</v>
      </c>
      <c r="D13" s="12">
        <f>B13*C13</f>
        <v>270.72457505668945</v>
      </c>
      <c r="E13" s="15" t="s">
        <v>108</v>
      </c>
      <c r="F13" s="12">
        <f>'Исходные данные'!$B$3^2-$B$13</f>
        <v>7588.5578231292511</v>
      </c>
      <c r="G13" s="16">
        <f>(0+ABS('Отметки (оконч.)'!$D$24)+ABS('Отметки (оконч.)'!$D$18)+ABS('Отметки (оконч.)'!$D$17)+0)/5</f>
        <v>0.15392</v>
      </c>
      <c r="H13" s="12">
        <f>F13*G13</f>
        <v>1168.0308201360544</v>
      </c>
      <c r="I13" s="12">
        <f>H13/'Исходные данные'!$B$4</f>
        <v>1123.1065578231292</v>
      </c>
    </row>
    <row r="14" spans="1:9" ht="15.6" x14ac:dyDescent="0.3">
      <c r="A14" s="3" t="s">
        <v>100</v>
      </c>
      <c r="B14" s="3" t="s">
        <v>100</v>
      </c>
      <c r="C14" s="3" t="s">
        <v>100</v>
      </c>
      <c r="D14" s="3" t="s">
        <v>100</v>
      </c>
      <c r="E14" s="15" t="s">
        <v>109</v>
      </c>
      <c r="F14" s="12">
        <f>'Исходные данные'!$B$3^2</f>
        <v>10000</v>
      </c>
      <c r="G14" s="16">
        <f>(ABS('Отметки (оконч.)'!$D$24)+ABS('Отметки (оконч.)'!$D$25)+ABS('Отметки (оконч.)'!$D$19)+ABS('Отметки (оконч.)'!$D$18))/4</f>
        <v>0.40820000000000001</v>
      </c>
      <c r="H14" s="12">
        <f>F14*G14</f>
        <v>4082</v>
      </c>
      <c r="I14" s="12">
        <f>H14/'Исходные данные'!$B$4</f>
        <v>3925</v>
      </c>
    </row>
    <row r="15" spans="1:9" ht="15.6" x14ac:dyDescent="0.3">
      <c r="A15" s="3" t="s">
        <v>100</v>
      </c>
      <c r="B15" s="3" t="s">
        <v>100</v>
      </c>
      <c r="C15" s="3" t="s">
        <v>100</v>
      </c>
      <c r="D15" s="3" t="s">
        <v>100</v>
      </c>
      <c r="E15" s="15" t="s">
        <v>110</v>
      </c>
      <c r="F15" s="12">
        <f>'Исходные данные'!$B$3^2</f>
        <v>10000</v>
      </c>
      <c r="G15" s="16">
        <f>(ABS('Отметки (оконч.)'!$D$25)+ABS('Отметки (оконч.)'!$D$26)+ABS('Отметки (оконч.)'!$D$20)+ABS('Отметки (оконч.)'!$D$19))/4</f>
        <v>0.55069999999999997</v>
      </c>
      <c r="H15" s="12">
        <f>F15*G15</f>
        <v>5507</v>
      </c>
      <c r="I15" s="12">
        <f>H15/'Исходные данные'!$B$4</f>
        <v>5295.1923076923076</v>
      </c>
    </row>
    <row r="16" spans="1:9" ht="15.6" x14ac:dyDescent="0.3">
      <c r="A16" s="15" t="s">
        <v>111</v>
      </c>
      <c r="B16" s="12">
        <f>'Исходные данные'!$B$3^2</f>
        <v>10000</v>
      </c>
      <c r="C16" s="16">
        <f>(ABS('Отметки (оконч.)'!$D$27)+ABS('Отметки (оконч.)'!$D$28)+ABS('Отметки (оконч.)'!$D$22)+ABS('Отметки (оконч.)'!$D$21))/4</f>
        <v>0.48679999999999995</v>
      </c>
      <c r="D16" s="12">
        <f>B16*C16</f>
        <v>4868</v>
      </c>
      <c r="E16" s="3" t="s">
        <v>100</v>
      </c>
      <c r="F16" s="3" t="s">
        <v>100</v>
      </c>
      <c r="G16" s="3" t="s">
        <v>100</v>
      </c>
      <c r="H16" s="3" t="s">
        <v>100</v>
      </c>
      <c r="I16" s="3" t="s">
        <v>100</v>
      </c>
    </row>
    <row r="17" spans="1:9" ht="15.6" x14ac:dyDescent="0.3">
      <c r="A17" s="15" t="s">
        <v>112</v>
      </c>
      <c r="B17" s="12">
        <f>'Исходные данные'!$B$3^2</f>
        <v>10000</v>
      </c>
      <c r="C17" s="16">
        <f>(ABS('Отметки (оконч.)'!$D$28)+ABS('Отметки (оконч.)'!$D$29)+ABS('Отметки (оконч.)'!$D$23)+ABS('Отметки (оконч.)'!$D$22))/4</f>
        <v>0.52679999999999993</v>
      </c>
      <c r="D17" s="12">
        <f>B17*C17</f>
        <v>5267.9999999999991</v>
      </c>
      <c r="E17" s="3" t="s">
        <v>100</v>
      </c>
      <c r="F17" s="3" t="s">
        <v>100</v>
      </c>
      <c r="G17" s="3" t="s">
        <v>100</v>
      </c>
      <c r="H17" s="3" t="s">
        <v>100</v>
      </c>
      <c r="I17" s="3" t="s">
        <v>100</v>
      </c>
    </row>
    <row r="18" spans="1:9" ht="15.6" x14ac:dyDescent="0.3">
      <c r="A18" s="15" t="s">
        <v>113</v>
      </c>
      <c r="B18" s="12">
        <f>'Исходные данные'!$B$3^2-$F$18</f>
        <v>9803.7913832199556</v>
      </c>
      <c r="C18" s="16">
        <f>(0+ABS('Отметки (оконч.)'!$D$23)+ABS('Отметки (оконч.)'!$D$29)+ABS('Отметки (оконч.)'!$D$30)+0)/5</f>
        <v>0.25007999999999997</v>
      </c>
      <c r="D18" s="12">
        <f>B18*C18</f>
        <v>2451.7321491156463</v>
      </c>
      <c r="E18" s="15" t="s">
        <v>114</v>
      </c>
      <c r="F18" s="12">
        <f>'ЛНР (оконч.)'!$G$10*'ЛНР (оконч.)'!$H$9/2</f>
        <v>196.20861678004519</v>
      </c>
      <c r="G18" s="16">
        <f>(0+ABS('Отметки (оконч.)'!$D$24)+0)/3</f>
        <v>2.7733333333333336E-2</v>
      </c>
      <c r="H18" s="12">
        <f>F18*G18</f>
        <v>5.4415189720332533</v>
      </c>
      <c r="I18" s="12">
        <f>H18/'Исходные данные'!$B$4</f>
        <v>5.2322297808012053</v>
      </c>
    </row>
    <row r="19" spans="1:9" ht="15.6" x14ac:dyDescent="0.3">
      <c r="A19" s="15" t="s">
        <v>115</v>
      </c>
      <c r="B19" s="12">
        <f>('ЛНР (оконч.)'!$H$10+'ЛНР (оконч.)'!$H$11)/2*'Исходные данные'!$B$3</f>
        <v>7090.5364677516591</v>
      </c>
      <c r="C19" s="16">
        <f>(0+ABS('Отметки (оконч.)'!$D$30)+ABS('Отметки (оконч.)'!$D$31)+0)/4</f>
        <v>0.20590000000000003</v>
      </c>
      <c r="D19" s="12">
        <f>B19*C19</f>
        <v>1459.9414587100669</v>
      </c>
      <c r="E19" s="15" t="s">
        <v>116</v>
      </c>
      <c r="F19" s="12">
        <f>('ЛНР (оконч.)'!$G$11+'ЛНР (оконч.)'!$G$10)/2*'Исходные данные'!$B$3</f>
        <v>2909.4635322483418</v>
      </c>
      <c r="G19" s="16">
        <f>(0+ABS('Отметки (оконч.)'!$D$25)+ABS('Отметки (оконч.)'!$D$24)+0)/4</f>
        <v>9.6599999999999991E-2</v>
      </c>
      <c r="H19" s="12">
        <f>F19*G19</f>
        <v>281.05417721518978</v>
      </c>
      <c r="I19" s="12">
        <f>H19/'Исходные данные'!$B$4</f>
        <v>270.2444011684517</v>
      </c>
    </row>
    <row r="20" spans="1:9" ht="15.6" x14ac:dyDescent="0.3">
      <c r="A20" s="15" t="s">
        <v>117</v>
      </c>
      <c r="B20" s="12">
        <f>'ЛНР (оконч.)'!$H$11*'ЛНР (оконч.)'!$G$12/2</f>
        <v>2631.2929158338889</v>
      </c>
      <c r="C20" s="16">
        <f>(0+ABS('Отметки (оконч.)'!$D$31)+0)/3</f>
        <v>0.16226666666666667</v>
      </c>
      <c r="D20" s="12">
        <f>B20*C20</f>
        <v>426.97113047597907</v>
      </c>
      <c r="E20" s="15" t="s">
        <v>118</v>
      </c>
      <c r="F20" s="12">
        <f>'Исходные данные'!$B$3^2-$B$20</f>
        <v>7368.7070841661116</v>
      </c>
      <c r="G20" s="16">
        <f>(0+ABS('Отметки (оконч.)'!$D$32)+ABS('Отметки (оконч.)'!$D$26)+ABS('Отметки (оконч.)'!$D$25)+0)/5</f>
        <v>0.21792000000000003</v>
      </c>
      <c r="H20" s="12">
        <f>F20*G20</f>
        <v>1605.7886477814793</v>
      </c>
      <c r="I20" s="12">
        <f>H20/'Исходные данные'!$B$4</f>
        <v>1544.02754594373</v>
      </c>
    </row>
    <row r="21" spans="1:9" ht="15.6" x14ac:dyDescent="0.3">
      <c r="A21" s="15" t="s">
        <v>119</v>
      </c>
      <c r="B21" s="17">
        <f>SUM(B6:B20)</f>
        <v>73425.786419831638</v>
      </c>
      <c r="C21" s="3"/>
      <c r="D21" s="17">
        <f>SUM(D6:D20)</f>
        <v>23875.925259715961</v>
      </c>
      <c r="E21" s="15" t="s">
        <v>119</v>
      </c>
      <c r="F21" s="17">
        <f>SUM(F6:F20)</f>
        <v>76574.213580168347</v>
      </c>
      <c r="G21" s="3"/>
      <c r="H21" s="17">
        <f>SUM(H6:H20)</f>
        <v>29210.69668958884</v>
      </c>
      <c r="I21" s="17">
        <f>SUM(I6:I20)</f>
        <v>28087.208355373888</v>
      </c>
    </row>
    <row r="23" spans="1:9" ht="15.6" x14ac:dyDescent="0.3">
      <c r="A23" s="9" t="s">
        <v>120</v>
      </c>
    </row>
    <row r="24" spans="1:9" ht="15.6" x14ac:dyDescent="0.3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126</v>
      </c>
    </row>
    <row r="25" spans="1:9" ht="15.6" x14ac:dyDescent="0.3">
      <c r="A25" s="3" t="s">
        <v>127</v>
      </c>
      <c r="B25" s="16">
        <f>ABS('Отметки (оконч.)'!$D$9)+ABS('Отметки (оконч.)'!$D$31)+ABS('Отметки (оконч.)'!$D$30)+ABS('Отметки (оконч.)'!$D$29)+ABS('Отметки (оконч.)'!$D$28)+ABS('Отметки (оконч.)'!$D$27)+ABS('Отметки (оконч.)'!$D$21)+ABS('Отметки (оконч.)'!$D$15)</f>
        <v>3.7144000000000004</v>
      </c>
      <c r="C25" s="3">
        <v>8</v>
      </c>
      <c r="D25" s="12">
        <f>'ЛНР (оконч.)'!$G$5+'ЛНР (оконч.)'!$G$12+'Исходные данные'!$B$3+'Исходные данные'!$B$3+'Исходные данные'!$B$3+'Исходные данные'!$B$3+'Исходные данные'!$B$3+'Исходные данные'!$B$3+'Исходные данные'!$B$3</f>
        <v>862.1035087719298</v>
      </c>
      <c r="E25" s="10">
        <v>0.25</v>
      </c>
      <c r="F25" s="12">
        <f>(B25/C25)^2*D25*E25/2</f>
        <v>23.230940528839916</v>
      </c>
    </row>
    <row r="26" spans="1:9" ht="15.6" x14ac:dyDescent="0.3">
      <c r="A26" s="3" t="s">
        <v>128</v>
      </c>
      <c r="B26" s="16">
        <f>ABS('Отметки (оконч.)'!$D$10)+ABS('Отметки (оконч.)'!$D$11)+ABS('Отметки (оконч.)'!$D$12)+ABS('Отметки (оконч.)'!$D$13)+ABS('Отметки (оконч.)'!$D$14)+ABS('Отметки (оконч.)'!$D$20)+ABS('Отметки (оконч.)'!$D$26)+ABS('Отметки (оконч.)'!$D$32)</f>
        <v>3.3855999999999997</v>
      </c>
      <c r="C26" s="3">
        <v>8</v>
      </c>
      <c r="D26" s="12">
        <f>'ЛНР (оконч.)'!$H$5+'Исходные данные'!$B$3+'Исходные данные'!$B$3+'Исходные данные'!$B$3+'Исходные данные'!$B$3+'Исходные данные'!$B$3+'Исходные данные'!$B$3+'Исходные данные'!$B$3+'ЛНР (оконч.)'!$H$12</f>
        <v>737.89649122807009</v>
      </c>
      <c r="E26" s="10">
        <v>0.25</v>
      </c>
      <c r="F26" s="12">
        <f>(B26/C26)^2*D26*E26/2</f>
        <v>16.519495360140347</v>
      </c>
    </row>
    <row r="28" spans="1:9" ht="15.6" x14ac:dyDescent="0.3">
      <c r="A28" s="9" t="s">
        <v>129</v>
      </c>
    </row>
    <row r="29" spans="1:9" ht="15.6" x14ac:dyDescent="0.3">
      <c r="A29" s="40" t="s">
        <v>130</v>
      </c>
      <c r="B29" s="41"/>
      <c r="C29" s="41"/>
      <c r="D29" s="41"/>
      <c r="E29" s="41"/>
      <c r="F29" s="17">
        <f>B21+F21</f>
        <v>150000</v>
      </c>
    </row>
    <row r="30" spans="1:9" ht="15.6" x14ac:dyDescent="0.3">
      <c r="A30" s="40" t="s">
        <v>131</v>
      </c>
      <c r="B30" s="41"/>
      <c r="C30" s="41"/>
      <c r="D30" s="41"/>
      <c r="E30" s="41"/>
      <c r="F30" s="17">
        <f>'Исходные данные'!$B$6*'Исходные данные'!$B$3^2</f>
        <v>150000</v>
      </c>
    </row>
    <row r="31" spans="1:9" ht="15.6" x14ac:dyDescent="0.3">
      <c r="A31" s="40" t="s">
        <v>132</v>
      </c>
      <c r="B31" s="41"/>
      <c r="C31" s="41"/>
      <c r="D31" s="41"/>
      <c r="E31" s="41"/>
      <c r="F31" s="17">
        <f>D21+F25</f>
        <v>23899.156200244801</v>
      </c>
    </row>
    <row r="32" spans="1:9" ht="15.6" x14ac:dyDescent="0.3">
      <c r="A32" s="40" t="s">
        <v>133</v>
      </c>
      <c r="B32" s="41"/>
      <c r="C32" s="41"/>
      <c r="D32" s="41"/>
      <c r="E32" s="41"/>
      <c r="F32" s="17">
        <f>H21+F26</f>
        <v>29227.216184948978</v>
      </c>
    </row>
    <row r="33" spans="1:6" ht="15.6" x14ac:dyDescent="0.3">
      <c r="A33" s="40" t="s">
        <v>134</v>
      </c>
      <c r="B33" s="41"/>
      <c r="C33" s="41"/>
      <c r="D33" s="41"/>
      <c r="E33" s="41"/>
      <c r="F33" s="17">
        <f>F32/'Исходные данные'!$B$4</f>
        <v>28103.092485527864</v>
      </c>
    </row>
  </sheetData>
  <mergeCells count="7">
    <mergeCell ref="A30:E30"/>
    <mergeCell ref="A29:E29"/>
    <mergeCell ref="E4:I4"/>
    <mergeCell ref="A4:D4"/>
    <mergeCell ref="A33:E33"/>
    <mergeCell ref="A32:E32"/>
    <mergeCell ref="A31:E31"/>
  </mergeCells>
  <pageMargins left="0.75" right="0.75" top="1" bottom="1" header="0.5" footer="0.5"/>
  <pageSetup paperSize="9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81"/>
  <sheetViews>
    <sheetView zoomScale="110" workbookViewId="0"/>
  </sheetViews>
  <sheetFormatPr defaultRowHeight="14.4" x14ac:dyDescent="0.3"/>
  <cols>
    <col min="1" max="1" width="52" customWidth="1"/>
    <col min="2" max="2" width="10" customWidth="1"/>
    <col min="3" max="3" width="12" customWidth="1"/>
    <col min="4" max="4" width="8" customWidth="1"/>
    <col min="5" max="5" width="44" customWidth="1"/>
    <col min="6" max="7" width="9" customWidth="1"/>
    <col min="8" max="8" width="10" customWidth="1"/>
  </cols>
  <sheetData>
    <row r="1" spans="1:5" ht="17.399999999999999" x14ac:dyDescent="0.3">
      <c r="A1" s="1" t="s">
        <v>307</v>
      </c>
    </row>
    <row r="2" spans="1:5" x14ac:dyDescent="0.3">
      <c r="A2" s="7" t="s">
        <v>136</v>
      </c>
    </row>
    <row r="4" spans="1:5" ht="15.6" x14ac:dyDescent="0.3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141</v>
      </c>
    </row>
    <row r="5" spans="1:5" x14ac:dyDescent="0.3">
      <c r="A5" s="43" t="s">
        <v>142</v>
      </c>
      <c r="B5" s="41"/>
      <c r="C5" s="41"/>
      <c r="D5" s="41"/>
      <c r="E5" s="41"/>
    </row>
    <row r="6" spans="1:5" ht="31.2" x14ac:dyDescent="0.3">
      <c r="A6" s="5" t="s">
        <v>143</v>
      </c>
      <c r="B6" s="3" t="s">
        <v>144</v>
      </c>
      <c r="C6" s="19">
        <v>2.4</v>
      </c>
      <c r="D6" s="3" t="s">
        <v>145</v>
      </c>
      <c r="E6" s="20"/>
    </row>
    <row r="7" spans="1:5" ht="15.6" x14ac:dyDescent="0.3">
      <c r="A7" s="5" t="s">
        <v>146</v>
      </c>
      <c r="B7" s="3" t="s">
        <v>147</v>
      </c>
      <c r="C7" s="19">
        <v>0.4</v>
      </c>
      <c r="D7" s="3" t="s">
        <v>145</v>
      </c>
      <c r="E7" s="20"/>
    </row>
    <row r="8" spans="1:5" ht="15.6" x14ac:dyDescent="0.3">
      <c r="A8" s="5" t="s">
        <v>148</v>
      </c>
      <c r="B8" s="3" t="s">
        <v>149</v>
      </c>
      <c r="C8" s="19">
        <v>0.15</v>
      </c>
      <c r="D8" s="3" t="s">
        <v>145</v>
      </c>
      <c r="E8" s="20"/>
    </row>
    <row r="9" spans="1:5" ht="15.6" x14ac:dyDescent="0.3">
      <c r="A9" s="5" t="s">
        <v>150</v>
      </c>
      <c r="B9" s="3" t="s">
        <v>151</v>
      </c>
      <c r="C9" s="19">
        <v>0.1</v>
      </c>
      <c r="D9" s="3" t="s">
        <v>145</v>
      </c>
      <c r="E9" s="20"/>
    </row>
    <row r="10" spans="1:5" ht="15.6" x14ac:dyDescent="0.3">
      <c r="A10" s="5" t="s">
        <v>152</v>
      </c>
      <c r="B10" s="3" t="s">
        <v>153</v>
      </c>
      <c r="C10" s="19">
        <v>0.2</v>
      </c>
      <c r="D10" s="3" t="s">
        <v>145</v>
      </c>
      <c r="E10" s="20" t="s">
        <v>154</v>
      </c>
    </row>
    <row r="11" spans="1:5" ht="15.6" x14ac:dyDescent="0.3">
      <c r="A11" s="5" t="s">
        <v>155</v>
      </c>
      <c r="B11" s="3" t="s">
        <v>156</v>
      </c>
      <c r="C11" s="19">
        <v>0.4</v>
      </c>
      <c r="D11" s="3" t="s">
        <v>145</v>
      </c>
      <c r="E11" s="20" t="s">
        <v>157</v>
      </c>
    </row>
    <row r="12" spans="1:5" ht="15.6" x14ac:dyDescent="0.3">
      <c r="A12" s="5" t="s">
        <v>158</v>
      </c>
      <c r="B12" s="3"/>
      <c r="C12" s="19">
        <v>0.5</v>
      </c>
      <c r="D12" s="3" t="s">
        <v>145</v>
      </c>
      <c r="E12" s="20" t="s">
        <v>159</v>
      </c>
    </row>
    <row r="13" spans="1:5" ht="15.6" x14ac:dyDescent="0.3">
      <c r="A13" s="5" t="s">
        <v>160</v>
      </c>
      <c r="B13" s="3"/>
      <c r="C13" s="19">
        <v>0.2</v>
      </c>
      <c r="D13" s="3" t="s">
        <v>145</v>
      </c>
      <c r="E13" s="20" t="s">
        <v>161</v>
      </c>
    </row>
    <row r="14" spans="1:5" ht="15.6" x14ac:dyDescent="0.3">
      <c r="A14" s="5" t="s">
        <v>162</v>
      </c>
      <c r="B14" s="3"/>
      <c r="C14" s="19">
        <v>0.5</v>
      </c>
      <c r="D14" s="3" t="s">
        <v>145</v>
      </c>
      <c r="E14" s="20" t="s">
        <v>159</v>
      </c>
    </row>
    <row r="15" spans="1:5" ht="15.6" x14ac:dyDescent="0.3">
      <c r="A15" s="5" t="s">
        <v>163</v>
      </c>
      <c r="B15" s="3"/>
      <c r="C15" s="21">
        <v>60</v>
      </c>
      <c r="D15" s="3" t="s">
        <v>145</v>
      </c>
      <c r="E15" s="20"/>
    </row>
    <row r="16" spans="1:5" ht="15.6" x14ac:dyDescent="0.3">
      <c r="A16" s="5" t="s">
        <v>164</v>
      </c>
      <c r="B16" s="3"/>
      <c r="C16" s="21">
        <v>30</v>
      </c>
      <c r="D16" s="3" t="s">
        <v>145</v>
      </c>
      <c r="E16" s="20"/>
    </row>
    <row r="17" spans="1:5" ht="15.6" x14ac:dyDescent="0.3">
      <c r="A17" s="5" t="s">
        <v>165</v>
      </c>
      <c r="B17" s="3"/>
      <c r="C17" s="21">
        <v>42</v>
      </c>
      <c r="D17" s="3" t="s">
        <v>145</v>
      </c>
      <c r="E17" s="20"/>
    </row>
    <row r="18" spans="1:5" ht="15.6" x14ac:dyDescent="0.3">
      <c r="A18" s="5" t="s">
        <v>166</v>
      </c>
      <c r="B18" s="3"/>
      <c r="C18" s="21">
        <v>12</v>
      </c>
      <c r="D18" s="3" t="s">
        <v>145</v>
      </c>
      <c r="E18" s="20"/>
    </row>
    <row r="19" spans="1:5" ht="15.6" x14ac:dyDescent="0.3">
      <c r="A19" s="5" t="s">
        <v>167</v>
      </c>
      <c r="B19" s="3"/>
      <c r="C19" s="22">
        <v>200</v>
      </c>
      <c r="D19" s="3" t="s">
        <v>145</v>
      </c>
      <c r="E19" s="20"/>
    </row>
    <row r="20" spans="1:5" ht="15.6" x14ac:dyDescent="0.3">
      <c r="A20" s="5" t="s">
        <v>168</v>
      </c>
      <c r="B20" s="3"/>
      <c r="C20" s="22">
        <v>100</v>
      </c>
      <c r="D20" s="3" t="s">
        <v>145</v>
      </c>
      <c r="E20" s="20"/>
    </row>
    <row r="21" spans="1:5" ht="15.6" x14ac:dyDescent="0.3">
      <c r="A21" s="5" t="s">
        <v>169</v>
      </c>
      <c r="B21" s="3" t="s">
        <v>170</v>
      </c>
      <c r="C21" s="23">
        <f>$C$19+'Исходные данные'!$B$3/2-$C$15/2</f>
        <v>220</v>
      </c>
      <c r="D21" s="3" t="s">
        <v>145</v>
      </c>
      <c r="E21" s="20"/>
    </row>
    <row r="22" spans="1:5" ht="15.6" x14ac:dyDescent="0.3">
      <c r="A22" s="5" t="s">
        <v>171</v>
      </c>
      <c r="B22" s="3" t="s">
        <v>172</v>
      </c>
      <c r="C22" s="23">
        <f>$C$20+'Исходные данные'!$B$3/2-$C$16/2</f>
        <v>135</v>
      </c>
      <c r="D22" s="3" t="s">
        <v>145</v>
      </c>
      <c r="E22" s="20"/>
    </row>
    <row r="23" spans="1:5" x14ac:dyDescent="0.3">
      <c r="A23" s="43" t="s">
        <v>173</v>
      </c>
      <c r="B23" s="41"/>
      <c r="C23" s="41"/>
      <c r="D23" s="41"/>
      <c r="E23" s="41"/>
    </row>
    <row r="24" spans="1:5" ht="15.6" x14ac:dyDescent="0.3">
      <c r="A24" s="5" t="s">
        <v>174</v>
      </c>
      <c r="B24" s="3"/>
      <c r="C24" s="24">
        <f>$C$11/2</f>
        <v>0.2</v>
      </c>
      <c r="D24" s="3" t="s">
        <v>145</v>
      </c>
      <c r="E24" s="20"/>
    </row>
    <row r="25" spans="1:5" ht="15.6" x14ac:dyDescent="0.3">
      <c r="A25" s="5" t="s">
        <v>175</v>
      </c>
      <c r="B25" s="3" t="s">
        <v>176</v>
      </c>
      <c r="C25" s="24">
        <f>$C$24+$C$12</f>
        <v>0.7</v>
      </c>
      <c r="D25" s="3" t="s">
        <v>145</v>
      </c>
      <c r="E25" s="20"/>
    </row>
    <row r="26" spans="1:5" ht="15.6" x14ac:dyDescent="0.3">
      <c r="A26" s="5" t="s">
        <v>177</v>
      </c>
      <c r="B26" s="3"/>
      <c r="C26" s="24">
        <f>$C$25+$C$13</f>
        <v>0.89999999999999991</v>
      </c>
      <c r="D26" s="3" t="s">
        <v>145</v>
      </c>
      <c r="E26" s="20"/>
    </row>
    <row r="27" spans="1:5" ht="15.6" x14ac:dyDescent="0.3">
      <c r="A27" s="5" t="s">
        <v>178</v>
      </c>
      <c r="B27" s="3"/>
      <c r="C27" s="24">
        <f>$C$26+$C$14</f>
        <v>1.4</v>
      </c>
      <c r="D27" s="3" t="s">
        <v>145</v>
      </c>
      <c r="E27" s="20"/>
    </row>
    <row r="28" spans="1:5" ht="15.6" x14ac:dyDescent="0.3">
      <c r="A28" s="5" t="s">
        <v>179</v>
      </c>
      <c r="B28" s="3" t="s">
        <v>180</v>
      </c>
      <c r="C28" s="24">
        <f>$C$27-$C$25</f>
        <v>0.7</v>
      </c>
      <c r="D28" s="3" t="s">
        <v>145</v>
      </c>
      <c r="E28" s="20" t="s">
        <v>181</v>
      </c>
    </row>
    <row r="29" spans="1:5" ht="15.6" x14ac:dyDescent="0.3">
      <c r="A29" s="5" t="s">
        <v>182</v>
      </c>
      <c r="B29" s="3" t="s">
        <v>183</v>
      </c>
      <c r="C29" s="21">
        <v>2.5</v>
      </c>
      <c r="D29" s="3" t="s">
        <v>145</v>
      </c>
      <c r="E29" s="20" t="s">
        <v>184</v>
      </c>
    </row>
    <row r="30" spans="1:5" ht="15.6" x14ac:dyDescent="0.3">
      <c r="A30" s="5" t="s">
        <v>185</v>
      </c>
      <c r="B30" s="3" t="s">
        <v>186</v>
      </c>
      <c r="C30" s="23">
        <f>1+2*$C$29+1</f>
        <v>7</v>
      </c>
      <c r="D30" s="3" t="s">
        <v>145</v>
      </c>
      <c r="E30" s="20" t="s">
        <v>187</v>
      </c>
    </row>
    <row r="31" spans="1:5" ht="15.6" x14ac:dyDescent="0.3">
      <c r="A31" s="5" t="s">
        <v>188</v>
      </c>
      <c r="B31" s="3"/>
      <c r="C31" s="24">
        <f>$C$25+$C$30</f>
        <v>7.7</v>
      </c>
      <c r="D31" s="3" t="s">
        <v>145</v>
      </c>
      <c r="E31" s="20"/>
    </row>
    <row r="32" spans="1:5" x14ac:dyDescent="0.3">
      <c r="A32" s="43" t="s">
        <v>189</v>
      </c>
      <c r="B32" s="41"/>
      <c r="C32" s="41"/>
      <c r="D32" s="41"/>
      <c r="E32" s="41"/>
    </row>
    <row r="33" spans="1:5" ht="26.4" x14ac:dyDescent="0.3">
      <c r="A33" s="5" t="s">
        <v>190</v>
      </c>
      <c r="B33" s="3" t="s">
        <v>191</v>
      </c>
      <c r="C33" s="12">
        <f>IF($C$6&lt;=1.5,0.25,IF($C$6&lt;=3,0.67,0.85))</f>
        <v>0.67</v>
      </c>
      <c r="D33" s="3"/>
      <c r="E33" s="20" t="s">
        <v>192</v>
      </c>
    </row>
    <row r="34" spans="1:5" ht="15.6" x14ac:dyDescent="0.3">
      <c r="A34" s="5" t="s">
        <v>193</v>
      </c>
      <c r="B34" s="3"/>
      <c r="C34" s="24">
        <f>$C$27+$C$6*$C$33</f>
        <v>3.008</v>
      </c>
      <c r="D34" s="3" t="s">
        <v>145</v>
      </c>
      <c r="E34" s="20"/>
    </row>
    <row r="35" spans="1:5" ht="31.2" x14ac:dyDescent="0.3">
      <c r="A35" s="5" t="s">
        <v>194</v>
      </c>
      <c r="B35" s="3"/>
      <c r="C35" s="24">
        <f>$C$31+$C$6*$C$33</f>
        <v>9.3079999999999998</v>
      </c>
      <c r="D35" s="3" t="s">
        <v>145</v>
      </c>
      <c r="E35" s="20"/>
    </row>
    <row r="36" spans="1:5" ht="31.2" x14ac:dyDescent="0.3">
      <c r="A36" s="5" t="s">
        <v>195</v>
      </c>
      <c r="B36" s="3" t="s">
        <v>196</v>
      </c>
      <c r="C36" s="16">
        <f>AVERAGE(H75:H80)</f>
        <v>9.3763323050666647E-2</v>
      </c>
      <c r="D36" s="3" t="s">
        <v>145</v>
      </c>
      <c r="E36" s="20" t="s">
        <v>197</v>
      </c>
    </row>
    <row r="37" spans="1:5" ht="15.6" x14ac:dyDescent="0.3">
      <c r="A37" s="5" t="s">
        <v>198</v>
      </c>
      <c r="B37" s="3"/>
      <c r="C37" s="24" t="str">
        <f>IF($C$36&gt;0,"насыпи","выемки")</f>
        <v>насыпи</v>
      </c>
      <c r="D37" s="3"/>
      <c r="E37" s="20" t="s">
        <v>199</v>
      </c>
    </row>
    <row r="38" spans="1:5" ht="31.2" x14ac:dyDescent="0.3">
      <c r="A38" s="5" t="s">
        <v>200</v>
      </c>
      <c r="B38" s="3" t="s">
        <v>201</v>
      </c>
      <c r="C38" s="16">
        <f>('Отметки (оконч.)'!$D$17+'Отметки (оконч.)'!$D$18+'Отметки (оконч.)'!$D$23+'Отметки (оконч.)'!$D$24)/4</f>
        <v>0.10819999999999999</v>
      </c>
      <c r="D38" s="3" t="s">
        <v>145</v>
      </c>
      <c r="E38" s="20" t="s">
        <v>202</v>
      </c>
    </row>
    <row r="39" spans="1:5" ht="15.6" x14ac:dyDescent="0.3">
      <c r="A39" s="5" t="s">
        <v>203</v>
      </c>
      <c r="B39" s="3" t="s">
        <v>204</v>
      </c>
      <c r="C39" s="16">
        <f>IF($C$37="насыпи",$C$6-$C$10-$C$38,$C$6-$C$10)</f>
        <v>2.0917999999999997</v>
      </c>
      <c r="D39" s="3" t="s">
        <v>145</v>
      </c>
      <c r="E39" s="20" t="s">
        <v>205</v>
      </c>
    </row>
    <row r="40" spans="1:5" x14ac:dyDescent="0.3">
      <c r="A40" s="43" t="s">
        <v>206</v>
      </c>
      <c r="B40" s="41"/>
      <c r="C40" s="41"/>
      <c r="D40" s="41"/>
      <c r="E40" s="41"/>
    </row>
    <row r="41" spans="1:5" ht="15.6" x14ac:dyDescent="0.3">
      <c r="A41" s="5" t="s">
        <v>207</v>
      </c>
      <c r="B41" s="3" t="s">
        <v>125</v>
      </c>
      <c r="C41" s="12">
        <f>IF($C$39&lt;=1.5,0.25,IF($C$39&lt;=3,0.67,0.85))</f>
        <v>0.67</v>
      </c>
      <c r="D41" s="3"/>
      <c r="E41" s="20" t="s">
        <v>208</v>
      </c>
    </row>
    <row r="42" spans="1:5" ht="15.6" x14ac:dyDescent="0.3">
      <c r="A42" s="5" t="s">
        <v>209</v>
      </c>
      <c r="B42" s="3" t="s">
        <v>210</v>
      </c>
      <c r="C42" s="16">
        <f>$C$39*$C$41</f>
        <v>1.4015059999999999</v>
      </c>
      <c r="D42" s="3" t="s">
        <v>145</v>
      </c>
      <c r="E42" s="20" t="s">
        <v>211</v>
      </c>
    </row>
    <row r="43" spans="1:5" ht="15.6" x14ac:dyDescent="0.3">
      <c r="A43" s="5" t="s">
        <v>212</v>
      </c>
      <c r="B43" s="3"/>
      <c r="C43" s="24">
        <f>$C$15+$C$27+$C$31</f>
        <v>69.099999999999994</v>
      </c>
      <c r="D43" s="3" t="s">
        <v>145</v>
      </c>
      <c r="E43" s="20"/>
    </row>
    <row r="44" spans="1:5" ht="15.6" x14ac:dyDescent="0.3">
      <c r="A44" s="5" t="s">
        <v>213</v>
      </c>
      <c r="B44" s="3"/>
      <c r="C44" s="24">
        <f>$C$16+2*$C$27</f>
        <v>32.799999999999997</v>
      </c>
      <c r="D44" s="3" t="s">
        <v>145</v>
      </c>
      <c r="E44" s="20"/>
    </row>
    <row r="45" spans="1:5" ht="15.6" x14ac:dyDescent="0.3">
      <c r="A45" s="5" t="s">
        <v>214</v>
      </c>
      <c r="B45" s="3" t="s">
        <v>215</v>
      </c>
      <c r="C45" s="12">
        <f>$C$43*$C$44-($C$17-$C$27+$C$31)*$C$18</f>
        <v>1686.8799999999997</v>
      </c>
      <c r="D45" s="3" t="s">
        <v>216</v>
      </c>
      <c r="E45" s="20" t="s">
        <v>217</v>
      </c>
    </row>
    <row r="46" spans="1:5" ht="15.6" x14ac:dyDescent="0.3">
      <c r="A46" s="5" t="s">
        <v>218</v>
      </c>
      <c r="B46" s="3"/>
      <c r="C46" s="24">
        <f>$C$43+2*$C$42</f>
        <v>71.90301199999999</v>
      </c>
      <c r="D46" s="3" t="s">
        <v>145</v>
      </c>
      <c r="E46" s="20"/>
    </row>
    <row r="47" spans="1:5" ht="15.6" x14ac:dyDescent="0.3">
      <c r="A47" s="5" t="s">
        <v>219</v>
      </c>
      <c r="B47" s="3"/>
      <c r="C47" s="24">
        <f>$C$44+2*$C$42</f>
        <v>35.603012</v>
      </c>
      <c r="D47" s="3" t="s">
        <v>145</v>
      </c>
      <c r="E47" s="20"/>
    </row>
    <row r="48" spans="1:5" ht="15.6" x14ac:dyDescent="0.3">
      <c r="A48" s="5" t="s">
        <v>220</v>
      </c>
      <c r="B48" s="3" t="s">
        <v>221</v>
      </c>
      <c r="C48" s="12">
        <f>$C$46*$C$47-($C$17-$C$27+$C$31)*$C$18</f>
        <v>1980.3637990721436</v>
      </c>
      <c r="D48" s="3" t="s">
        <v>216</v>
      </c>
      <c r="E48" s="20"/>
    </row>
    <row r="49" spans="1:5" ht="15.6" x14ac:dyDescent="0.3">
      <c r="A49" s="5" t="s">
        <v>222</v>
      </c>
      <c r="B49" s="3" t="s">
        <v>223</v>
      </c>
      <c r="C49" s="12">
        <f>($C$15+2*$C$24)*($C$16+2*$C$24)-$C$17*$C$18</f>
        <v>1332.1599999999999</v>
      </c>
      <c r="D49" s="3" t="s">
        <v>216</v>
      </c>
      <c r="E49" s="20"/>
    </row>
    <row r="50" spans="1:5" ht="15.6" x14ac:dyDescent="0.3">
      <c r="A50" s="5" t="s">
        <v>224</v>
      </c>
      <c r="B50" s="3" t="s">
        <v>225</v>
      </c>
      <c r="C50" s="12">
        <f>($C$15+2*$C$25)*($C$16+2*$C$25)-$C$17*$C$18</f>
        <v>1423.9599999999998</v>
      </c>
      <c r="D50" s="3" t="s">
        <v>216</v>
      </c>
      <c r="E50" s="20"/>
    </row>
    <row r="51" spans="1:5" ht="15.6" x14ac:dyDescent="0.3">
      <c r="A51" s="5" t="s">
        <v>226</v>
      </c>
      <c r="B51" s="3" t="s">
        <v>227</v>
      </c>
      <c r="C51" s="12">
        <f>($C$15+2*$C$26)*($C$16+2*$C$26)-$C$17*$C$18</f>
        <v>1461.24</v>
      </c>
      <c r="D51" s="3" t="s">
        <v>216</v>
      </c>
      <c r="E51" s="20"/>
    </row>
    <row r="52" spans="1:5" x14ac:dyDescent="0.3">
      <c r="A52" s="43" t="s">
        <v>228</v>
      </c>
      <c r="B52" s="41"/>
      <c r="C52" s="41"/>
      <c r="D52" s="41"/>
      <c r="E52" s="41"/>
    </row>
    <row r="53" spans="1:5" ht="26.4" x14ac:dyDescent="0.3">
      <c r="A53" s="5" t="s">
        <v>229</v>
      </c>
      <c r="B53" s="3" t="s">
        <v>230</v>
      </c>
      <c r="C53" s="21">
        <v>6</v>
      </c>
      <c r="D53" s="3" t="s">
        <v>145</v>
      </c>
      <c r="E53" s="20" t="s">
        <v>231</v>
      </c>
    </row>
    <row r="54" spans="1:5" ht="15.6" x14ac:dyDescent="0.3">
      <c r="A54" s="5" t="s">
        <v>232</v>
      </c>
      <c r="B54" s="3" t="s">
        <v>233</v>
      </c>
      <c r="C54" s="10">
        <v>0.1</v>
      </c>
      <c r="D54" s="3"/>
      <c r="E54" s="20" t="s">
        <v>234</v>
      </c>
    </row>
    <row r="55" spans="1:5" ht="15.6" x14ac:dyDescent="0.3">
      <c r="A55" s="5" t="s">
        <v>235</v>
      </c>
      <c r="B55" s="3" t="s">
        <v>236</v>
      </c>
      <c r="C55" s="12">
        <f>1/$C$54</f>
        <v>10</v>
      </c>
      <c r="D55" s="3"/>
      <c r="E55" s="20" t="s">
        <v>237</v>
      </c>
    </row>
    <row r="56" spans="1:5" ht="15.6" x14ac:dyDescent="0.3">
      <c r="A56" s="5" t="s">
        <v>238</v>
      </c>
      <c r="B56" s="3"/>
      <c r="C56" s="24">
        <f>$C$39*$C$55</f>
        <v>20.917999999999996</v>
      </c>
      <c r="D56" s="3" t="s">
        <v>145</v>
      </c>
      <c r="E56" s="20"/>
    </row>
    <row r="57" spans="1:5" ht="15.6" x14ac:dyDescent="0.3">
      <c r="A57" s="5" t="s">
        <v>239</v>
      </c>
      <c r="B57" s="3" t="s">
        <v>240</v>
      </c>
      <c r="C57" s="12">
        <f>$C$39^2/6*(3*$C$53+2*$C$41*$C$39*($C$55-$C$41)/$C$55)*($C$55-$C$41)</f>
        <v>140.26795907897184</v>
      </c>
      <c r="D57" s="3" t="s">
        <v>241</v>
      </c>
      <c r="E57" s="20" t="s">
        <v>242</v>
      </c>
    </row>
    <row r="58" spans="1:5" x14ac:dyDescent="0.3">
      <c r="A58" s="43" t="s">
        <v>243</v>
      </c>
      <c r="B58" s="41"/>
      <c r="C58" s="41"/>
      <c r="D58" s="41"/>
      <c r="E58" s="41"/>
    </row>
    <row r="59" spans="1:5" ht="15.6" x14ac:dyDescent="0.3">
      <c r="A59" s="5" t="s">
        <v>244</v>
      </c>
      <c r="B59" s="3"/>
      <c r="C59" s="12">
        <f>$C$39/3*($C$45+$C$48+SQRT($C$45*$C$48))</f>
        <v>3831.4695286661999</v>
      </c>
      <c r="D59" s="3" t="s">
        <v>241</v>
      </c>
      <c r="E59" s="20" t="s">
        <v>245</v>
      </c>
    </row>
    <row r="60" spans="1:5" ht="15.6" x14ac:dyDescent="0.3">
      <c r="A60" s="5" t="s">
        <v>246</v>
      </c>
      <c r="B60" s="3" t="s">
        <v>247</v>
      </c>
      <c r="C60" s="12">
        <f>$C$59+$C$57</f>
        <v>3971.7374877451716</v>
      </c>
      <c r="D60" s="3" t="s">
        <v>241</v>
      </c>
      <c r="E60" s="20"/>
    </row>
    <row r="61" spans="1:5" ht="15.6" x14ac:dyDescent="0.3">
      <c r="A61" s="5" t="s">
        <v>248</v>
      </c>
      <c r="B61" s="3" t="s">
        <v>249</v>
      </c>
      <c r="C61" s="12">
        <f>$C$45*$C$9</f>
        <v>168.68799999999999</v>
      </c>
      <c r="D61" s="3" t="s">
        <v>241</v>
      </c>
      <c r="E61" s="20" t="s">
        <v>250</v>
      </c>
    </row>
    <row r="62" spans="1:5" ht="15.6" x14ac:dyDescent="0.3">
      <c r="A62" s="5" t="s">
        <v>251</v>
      </c>
      <c r="B62" s="3" t="s">
        <v>252</v>
      </c>
      <c r="C62" s="12">
        <f>$C$51*$C$8</f>
        <v>219.18600000000001</v>
      </c>
      <c r="D62" s="3" t="s">
        <v>241</v>
      </c>
      <c r="E62" s="20" t="s">
        <v>253</v>
      </c>
    </row>
    <row r="63" spans="1:5" ht="15.6" x14ac:dyDescent="0.3">
      <c r="A63" s="5" t="s">
        <v>254</v>
      </c>
      <c r="B63" s="3" t="s">
        <v>255</v>
      </c>
      <c r="C63" s="10">
        <v>0</v>
      </c>
      <c r="D63" s="3" t="s">
        <v>241</v>
      </c>
      <c r="E63" s="20" t="s">
        <v>256</v>
      </c>
    </row>
    <row r="64" spans="1:5" ht="15.6" x14ac:dyDescent="0.3">
      <c r="A64" s="5" t="s">
        <v>257</v>
      </c>
      <c r="B64" s="3" t="s">
        <v>258</v>
      </c>
      <c r="C64" s="10">
        <v>0</v>
      </c>
      <c r="D64" s="3" t="s">
        <v>241</v>
      </c>
      <c r="E64" s="20" t="s">
        <v>259</v>
      </c>
    </row>
    <row r="65" spans="1:8" ht="15.6" x14ac:dyDescent="0.3">
      <c r="A65" s="5" t="s">
        <v>260</v>
      </c>
      <c r="B65" s="3" t="s">
        <v>261</v>
      </c>
      <c r="C65" s="12">
        <f>$C$50*$C$7</f>
        <v>569.58399999999995</v>
      </c>
      <c r="D65" s="3" t="s">
        <v>241</v>
      </c>
      <c r="E65" s="20" t="s">
        <v>262</v>
      </c>
    </row>
    <row r="66" spans="1:8" ht="15.6" x14ac:dyDescent="0.3">
      <c r="A66" s="5" t="s">
        <v>263</v>
      </c>
      <c r="B66" s="3"/>
      <c r="C66" s="24">
        <f>$C$39-$C$7-$C$8-$C$9</f>
        <v>1.4417999999999997</v>
      </c>
      <c r="D66" s="3" t="s">
        <v>145</v>
      </c>
      <c r="E66" s="20" t="s">
        <v>264</v>
      </c>
    </row>
    <row r="67" spans="1:8" ht="15.6" x14ac:dyDescent="0.3">
      <c r="A67" s="5" t="s">
        <v>265</v>
      </c>
      <c r="B67" s="3" t="s">
        <v>266</v>
      </c>
      <c r="C67" s="12">
        <f>$C$49*$C$66</f>
        <v>1920.7082879999994</v>
      </c>
      <c r="D67" s="3" t="s">
        <v>241</v>
      </c>
      <c r="E67" s="20"/>
    </row>
    <row r="68" spans="1:8" ht="15.6" x14ac:dyDescent="0.3">
      <c r="A68" s="5" t="s">
        <v>267</v>
      </c>
      <c r="B68" s="3" t="s">
        <v>268</v>
      </c>
      <c r="C68" s="12">
        <f>$C$65+$C$67</f>
        <v>2490.2922879999992</v>
      </c>
      <c r="D68" s="3" t="s">
        <v>241</v>
      </c>
      <c r="E68" s="20" t="s">
        <v>269</v>
      </c>
    </row>
    <row r="69" spans="1:8" ht="26.4" x14ac:dyDescent="0.3">
      <c r="A69" s="5" t="s">
        <v>270</v>
      </c>
      <c r="B69" s="3" t="s">
        <v>271</v>
      </c>
      <c r="C69" s="12">
        <f>$C$59-$C$68-$C$61-$C$62-$C$63-$C$64</f>
        <v>953.30324066620062</v>
      </c>
      <c r="D69" s="3" t="s">
        <v>241</v>
      </c>
      <c r="E69" s="20" t="s">
        <v>272</v>
      </c>
    </row>
    <row r="70" spans="1:8" ht="15.6" x14ac:dyDescent="0.3">
      <c r="A70" s="5" t="s">
        <v>273</v>
      </c>
      <c r="B70" s="3" t="s">
        <v>240</v>
      </c>
      <c r="C70" s="12">
        <f>$C$57</f>
        <v>140.26795907897184</v>
      </c>
      <c r="D70" s="3" t="s">
        <v>241</v>
      </c>
      <c r="E70" s="20"/>
    </row>
    <row r="71" spans="1:8" ht="15.6" x14ac:dyDescent="0.3">
      <c r="A71" s="5" t="s">
        <v>274</v>
      </c>
      <c r="B71" s="3" t="s">
        <v>275</v>
      </c>
      <c r="C71" s="12">
        <f>$C$69+$C$70</f>
        <v>1093.5711997451724</v>
      </c>
      <c r="D71" s="3" t="s">
        <v>241</v>
      </c>
      <c r="E71" s="20" t="s">
        <v>276</v>
      </c>
    </row>
    <row r="73" spans="1:8" ht="15.6" x14ac:dyDescent="0.3">
      <c r="A73" s="9" t="s">
        <v>277</v>
      </c>
    </row>
    <row r="74" spans="1:8" ht="31.2" x14ac:dyDescent="0.3">
      <c r="A74" s="2" t="s">
        <v>278</v>
      </c>
      <c r="B74" s="2" t="s">
        <v>279</v>
      </c>
      <c r="C74" s="2" t="s">
        <v>280</v>
      </c>
      <c r="D74" s="2" t="s">
        <v>281</v>
      </c>
      <c r="E74" s="2" t="s">
        <v>282</v>
      </c>
      <c r="F74" s="2" t="s">
        <v>283</v>
      </c>
      <c r="G74" s="2" t="s">
        <v>284</v>
      </c>
      <c r="H74" s="2" t="s">
        <v>49</v>
      </c>
    </row>
    <row r="75" spans="1:8" ht="15.6" x14ac:dyDescent="0.3">
      <c r="A75" s="3" t="s">
        <v>96</v>
      </c>
      <c r="B75" s="24">
        <f>-$C$34</f>
        <v>-3.008</v>
      </c>
      <c r="C75" s="24">
        <f>-$C$34</f>
        <v>-3.008</v>
      </c>
      <c r="D75" s="24">
        <f t="shared" ref="D75:D80" si="0">$C$21+B75</f>
        <v>216.99199999999999</v>
      </c>
      <c r="E75" s="24">
        <f t="shared" ref="E75:E80" si="1">$C$22+C75</f>
        <v>131.99199999999999</v>
      </c>
      <c r="F75" s="16">
        <f>(D75-$C$19)/'Исходные данные'!$B$3</f>
        <v>0.1699199999999999</v>
      </c>
      <c r="G75" s="16">
        <f>(E75-$C$20)/'Исходные данные'!$B$3</f>
        <v>0.31991999999999993</v>
      </c>
      <c r="H75" s="16">
        <f>'Отметки (оконч.)'!$D$23*(1-F75)*(1-G75)+'Отметки (оконч.)'!$D$24*F75*(1-G75)+'Отметки (оконч.)'!$D$17*(1-F75)*G75+'Отметки (оконч.)'!$D$18*F75*G75</f>
        <v>-9.6063345152000115E-2</v>
      </c>
    </row>
    <row r="76" spans="1:8" ht="15.6" x14ac:dyDescent="0.3">
      <c r="A76" s="3" t="s">
        <v>98</v>
      </c>
      <c r="B76" s="24">
        <f>$C$15-$C$17+$C$34</f>
        <v>21.007999999999999</v>
      </c>
      <c r="C76" s="24">
        <f>-$C$34</f>
        <v>-3.008</v>
      </c>
      <c r="D76" s="24">
        <f t="shared" si="0"/>
        <v>241.00800000000001</v>
      </c>
      <c r="E76" s="24">
        <f t="shared" si="1"/>
        <v>131.99199999999999</v>
      </c>
      <c r="F76" s="16">
        <f>(D76-$C$19)/'Исходные данные'!$B$3</f>
        <v>0.41008000000000011</v>
      </c>
      <c r="G76" s="16">
        <f>(E76-$C$20)/'Исходные данные'!$B$3</f>
        <v>0.31991999999999993</v>
      </c>
      <c r="H76" s="16">
        <f>'Отметки (оконч.)'!$D$23*(1-F76)*(1-G76)+'Отметки (оконч.)'!$D$24*F76*(1-G76)+'Отметки (оконч.)'!$D$17*(1-F76)*G76+'Отметки (оконч.)'!$D$18*F76*G76</f>
        <v>-9.0259028480000059E-3</v>
      </c>
    </row>
    <row r="77" spans="1:8" ht="15.6" x14ac:dyDescent="0.3">
      <c r="A77" s="3" t="s">
        <v>101</v>
      </c>
      <c r="B77" s="24">
        <f>$C$15-$C$17+$C$34</f>
        <v>21.007999999999999</v>
      </c>
      <c r="C77" s="24">
        <f>$C$18-$C$34</f>
        <v>8.9920000000000009</v>
      </c>
      <c r="D77" s="24">
        <f t="shared" si="0"/>
        <v>241.00800000000001</v>
      </c>
      <c r="E77" s="24">
        <f t="shared" si="1"/>
        <v>143.99199999999999</v>
      </c>
      <c r="F77" s="16">
        <f>(D77-$C$19)/'Исходные данные'!$B$3</f>
        <v>0.41008000000000011</v>
      </c>
      <c r="G77" s="16">
        <f>(E77-$C$20)/'Исходные данные'!$B$3</f>
        <v>0.43991999999999992</v>
      </c>
      <c r="H77" s="16">
        <f>'Отметки (оконч.)'!$D$23*(1-F77)*(1-G77)+'Отметки (оконч.)'!$D$24*F77*(1-G77)+'Отметки (оконч.)'!$D$17*(1-F77)*G77+'Отметки (оконч.)'!$D$18*F77*G77</f>
        <v>4.9316369151999967E-2</v>
      </c>
    </row>
    <row r="78" spans="1:8" ht="15.6" x14ac:dyDescent="0.3">
      <c r="A78" s="3" t="s">
        <v>102</v>
      </c>
      <c r="B78" s="24">
        <f>$C$15+$C$35</f>
        <v>69.307999999999993</v>
      </c>
      <c r="C78" s="24">
        <f>$C$18-$C$34</f>
        <v>8.9920000000000009</v>
      </c>
      <c r="D78" s="24">
        <f t="shared" si="0"/>
        <v>289.30799999999999</v>
      </c>
      <c r="E78" s="24">
        <f t="shared" si="1"/>
        <v>143.99199999999999</v>
      </c>
      <c r="F78" s="16">
        <f>(D78-$C$19)/'Исходные данные'!$B$3</f>
        <v>0.89307999999999987</v>
      </c>
      <c r="G78" s="16">
        <f>(E78-$C$20)/'Исходные данные'!$B$3</f>
        <v>0.43991999999999992</v>
      </c>
      <c r="H78" s="16">
        <f>'Отметки (оконч.)'!$D$23*(1-F78)*(1-G78)+'Отметки (оконч.)'!$D$24*F78*(1-G78)+'Отметки (оконч.)'!$D$17*(1-F78)*G78+'Отметки (оконч.)'!$D$18*F78*G78</f>
        <v>0.21392972435199992</v>
      </c>
    </row>
    <row r="79" spans="1:8" ht="15.6" x14ac:dyDescent="0.3">
      <c r="A79" s="3" t="s">
        <v>103</v>
      </c>
      <c r="B79" s="24">
        <f>$C$15+$C$35</f>
        <v>69.307999999999993</v>
      </c>
      <c r="C79" s="24">
        <f>$C$16+$C$34</f>
        <v>33.008000000000003</v>
      </c>
      <c r="D79" s="24">
        <f t="shared" si="0"/>
        <v>289.30799999999999</v>
      </c>
      <c r="E79" s="24">
        <f t="shared" si="1"/>
        <v>168.00800000000001</v>
      </c>
      <c r="F79" s="16">
        <f>(D79-$C$19)/'Исходные данные'!$B$3</f>
        <v>0.89307999999999987</v>
      </c>
      <c r="G79" s="16">
        <f>(E79-$C$20)/'Исходные данные'!$B$3</f>
        <v>0.68008000000000013</v>
      </c>
      <c r="H79" s="16">
        <f>'Отметки (оконч.)'!$D$23*(1-F79)*(1-G79)+'Отметки (оконч.)'!$D$24*F79*(1-G79)+'Отметки (оконч.)'!$D$17*(1-F79)*G79+'Отметки (оконч.)'!$D$18*F79*G79</f>
        <v>0.30981254764800004</v>
      </c>
    </row>
    <row r="80" spans="1:8" ht="15.6" x14ac:dyDescent="0.3">
      <c r="A80" s="3" t="s">
        <v>104</v>
      </c>
      <c r="B80" s="24">
        <f>-$C$34</f>
        <v>-3.008</v>
      </c>
      <c r="C80" s="24">
        <f>$C$16+$C$34</f>
        <v>33.008000000000003</v>
      </c>
      <c r="D80" s="24">
        <f t="shared" si="0"/>
        <v>216.99199999999999</v>
      </c>
      <c r="E80" s="24">
        <f t="shared" si="1"/>
        <v>168.00800000000001</v>
      </c>
      <c r="F80" s="16">
        <f>(D80-$C$19)/'Исходные данные'!$B$3</f>
        <v>0.1699199999999999</v>
      </c>
      <c r="G80" s="16">
        <f>(E80-$C$20)/'Исходные данные'!$B$3</f>
        <v>0.68008000000000013</v>
      </c>
      <c r="H80" s="16">
        <f>'Отметки (оконч.)'!$D$23*(1-F80)*(1-G80)+'Отметки (оконч.)'!$D$24*F80*(1-G80)+'Отметки (оконч.)'!$D$17*(1-F80)*G80+'Отметки (оконч.)'!$D$18*F80*G80</f>
        <v>9.4610545152000028E-2</v>
      </c>
    </row>
    <row r="81" spans="1:1" x14ac:dyDescent="0.3">
      <c r="A81" s="25" t="s">
        <v>285</v>
      </c>
    </row>
  </sheetData>
  <mergeCells count="6">
    <mergeCell ref="A52:E52"/>
    <mergeCell ref="A5:E5"/>
    <mergeCell ref="A23:E23"/>
    <mergeCell ref="A32:E32"/>
    <mergeCell ref="A58:E58"/>
    <mergeCell ref="A40:E40"/>
  </mergeCells>
  <pageMargins left="0.75" right="0.75" top="1" bottom="1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14"/>
  <sheetViews>
    <sheetView zoomScale="110" workbookViewId="0"/>
  </sheetViews>
  <sheetFormatPr defaultRowHeight="14.4" x14ac:dyDescent="0.3"/>
  <cols>
    <col min="1" max="1" width="5" customWidth="1"/>
    <col min="2" max="2" width="52" customWidth="1"/>
    <col min="3" max="5" width="16" customWidth="1"/>
  </cols>
  <sheetData>
    <row r="1" spans="1:5" ht="17.399999999999999" x14ac:dyDescent="0.3">
      <c r="A1" s="1" t="s">
        <v>286</v>
      </c>
    </row>
    <row r="2" spans="1:5" x14ac:dyDescent="0.3">
      <c r="A2" s="7" t="s">
        <v>308</v>
      </c>
    </row>
    <row r="4" spans="1:5" ht="31.2" x14ac:dyDescent="0.3">
      <c r="A4" s="2" t="s">
        <v>1</v>
      </c>
      <c r="B4" s="2" t="s">
        <v>288</v>
      </c>
      <c r="C4" s="2" t="s">
        <v>289</v>
      </c>
      <c r="D4" s="2" t="s">
        <v>290</v>
      </c>
      <c r="E4" s="2" t="s">
        <v>291</v>
      </c>
    </row>
    <row r="5" spans="1:5" ht="15.6" x14ac:dyDescent="0.3">
      <c r="A5" s="3">
        <v>1</v>
      </c>
      <c r="B5" s="5" t="s">
        <v>292</v>
      </c>
      <c r="C5" s="26">
        <f>'Табл. 1 объёмы (оконч.)'!$F$31</f>
        <v>23899.156200244801</v>
      </c>
      <c r="D5" s="26">
        <f>'Табл. 1 объёмы (оконч.)'!$F$32</f>
        <v>29227.216184948978</v>
      </c>
      <c r="E5" s="12">
        <f>D5/'Исходные данные'!$B$4</f>
        <v>28103.092485527864</v>
      </c>
    </row>
    <row r="6" spans="1:5" ht="46.8" x14ac:dyDescent="0.3">
      <c r="A6" s="3">
        <v>2</v>
      </c>
      <c r="B6" s="5" t="s">
        <v>293</v>
      </c>
      <c r="C6" s="26">
        <f>'Котлован (оконч.)'!$C$60</f>
        <v>3971.7374877451716</v>
      </c>
      <c r="D6" s="10">
        <v>0</v>
      </c>
      <c r="E6" s="12">
        <f>D6/'Исходные данные'!$B$4</f>
        <v>0</v>
      </c>
    </row>
    <row r="7" spans="1:5" ht="15.6" x14ac:dyDescent="0.3">
      <c r="A7" s="3"/>
      <c r="B7" s="27" t="s">
        <v>294</v>
      </c>
      <c r="C7" s="17">
        <f>SUM(C5:C6)</f>
        <v>27870.893687989974</v>
      </c>
      <c r="D7" s="17">
        <f>SUM(D5:D6)</f>
        <v>29227.216184948978</v>
      </c>
      <c r="E7" s="17">
        <f>SUM(E5:E6)</f>
        <v>28103.092485527864</v>
      </c>
    </row>
    <row r="8" spans="1:5" ht="31.2" x14ac:dyDescent="0.3">
      <c r="A8" s="3"/>
      <c r="B8" s="27" t="s">
        <v>295</v>
      </c>
      <c r="C8" s="44">
        <f>C7-E7</f>
        <v>-232.19879753789064</v>
      </c>
      <c r="D8" s="41"/>
      <c r="E8" s="41"/>
    </row>
    <row r="10" spans="1:5" ht="15.6" x14ac:dyDescent="0.3">
      <c r="A10" s="40" t="s">
        <v>296</v>
      </c>
      <c r="B10" s="41"/>
      <c r="C10" s="41"/>
      <c r="D10" s="28">
        <f>ABS(C8)/MAX(C7,E7)</f>
        <v>8.2623931034445808E-3</v>
      </c>
    </row>
    <row r="11" spans="1:5" ht="15.6" x14ac:dyDescent="0.3">
      <c r="A11" s="40" t="s">
        <v>297</v>
      </c>
      <c r="B11" s="41"/>
      <c r="C11" s="41"/>
      <c r="D11" s="15" t="str">
        <f>IF(D10&lt;=0.05,"баланс соблюдён",IF(C8&lt;0,"не хватает грунта — нужен перерасчёт Нср (Δh)","излишек грунта — нужен перерасчёт Нср (Δh)"))</f>
        <v>баланс соблюдён</v>
      </c>
    </row>
    <row r="12" spans="1:5" ht="15.6" x14ac:dyDescent="0.3">
      <c r="A12" s="40" t="s">
        <v>298</v>
      </c>
      <c r="B12" s="41"/>
      <c r="C12" s="41"/>
      <c r="D12" s="17">
        <f>'Исходные данные'!$B$6*'Исходные данные'!$B$3^2</f>
        <v>150000</v>
      </c>
    </row>
    <row r="13" spans="1:5" ht="15.6" x14ac:dyDescent="0.3">
      <c r="A13" s="40" t="s">
        <v>299</v>
      </c>
      <c r="B13" s="41"/>
      <c r="C13" s="41"/>
      <c r="D13" s="29">
        <f>C8*'Исходные данные'!$B$4/D12</f>
        <v>-1.6099116629293751E-3</v>
      </c>
    </row>
    <row r="14" spans="1:5" ht="15.6" x14ac:dyDescent="0.3">
      <c r="A14" s="40" t="s">
        <v>300</v>
      </c>
      <c r="B14" s="41"/>
      <c r="C14" s="41"/>
      <c r="D14" s="30">
        <f>ROUND(D13,4)</f>
        <v>-1.6000000000000001E-3</v>
      </c>
    </row>
  </sheetData>
  <mergeCells count="6">
    <mergeCell ref="A10:C10"/>
    <mergeCell ref="A13:C13"/>
    <mergeCell ref="A11:C11"/>
    <mergeCell ref="A14:C14"/>
    <mergeCell ref="C8:E8"/>
    <mergeCell ref="A12:C12"/>
  </mergeCells>
  <pageMargins left="0.75" right="0.75" top="1" bottom="1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7"/>
  <sheetViews>
    <sheetView zoomScale="110" workbookViewId="0"/>
  </sheetViews>
  <sheetFormatPr defaultRowHeight="14.4" x14ac:dyDescent="0.3"/>
  <cols>
    <col min="1" max="1" width="6" customWidth="1"/>
    <col min="2" max="2" width="22" customWidth="1"/>
    <col min="3" max="3" width="16" customWidth="1"/>
    <col min="4" max="4" width="22" customWidth="1"/>
    <col min="5" max="5" width="13" customWidth="1"/>
    <col min="6" max="6" width="11" customWidth="1"/>
    <col min="7" max="7" width="6" customWidth="1"/>
    <col min="8" max="8" width="34" customWidth="1"/>
    <col min="9" max="9" width="16" customWidth="1"/>
    <col min="10" max="10" width="18" customWidth="1"/>
  </cols>
  <sheetData>
    <row r="1" spans="1:10" ht="17.399999999999999" x14ac:dyDescent="0.3">
      <c r="A1" s="1" t="s">
        <v>309</v>
      </c>
    </row>
    <row r="2" spans="1:10" x14ac:dyDescent="0.3">
      <c r="A2" s="7" t="s">
        <v>310</v>
      </c>
    </row>
    <row r="4" spans="1:10" x14ac:dyDescent="0.3">
      <c r="A4" s="42" t="s">
        <v>311</v>
      </c>
      <c r="B4" s="41"/>
      <c r="C4" s="41"/>
      <c r="D4" s="41"/>
      <c r="E4" s="41"/>
      <c r="G4" s="42" t="s">
        <v>312</v>
      </c>
      <c r="H4" s="41"/>
      <c r="I4" s="41"/>
      <c r="J4" s="41"/>
    </row>
    <row r="5" spans="1:10" ht="48" customHeight="1" x14ac:dyDescent="0.3">
      <c r="A5" s="2" t="s">
        <v>313</v>
      </c>
      <c r="B5" s="2" t="s">
        <v>314</v>
      </c>
      <c r="C5" s="2" t="s">
        <v>315</v>
      </c>
      <c r="D5" s="42" t="s">
        <v>316</v>
      </c>
      <c r="E5" s="41"/>
      <c r="G5" s="2" t="s">
        <v>313</v>
      </c>
      <c r="H5" s="2" t="s">
        <v>317</v>
      </c>
      <c r="I5" s="2" t="s">
        <v>318</v>
      </c>
      <c r="J5" s="2" t="s">
        <v>319</v>
      </c>
    </row>
    <row r="6" spans="1:10" ht="31.2" x14ac:dyDescent="0.3">
      <c r="A6" s="3">
        <v>1</v>
      </c>
      <c r="B6" s="5" t="s">
        <v>320</v>
      </c>
      <c r="C6" s="26">
        <f>'Котлован (оконч.)'!$C$59</f>
        <v>3831.4695286661999</v>
      </c>
      <c r="D6" s="5" t="s">
        <v>321</v>
      </c>
      <c r="E6" s="12">
        <f>J8*'Исходные данные'!$B$7</f>
        <v>0</v>
      </c>
      <c r="G6" s="3">
        <v>1</v>
      </c>
      <c r="H6" s="5" t="s">
        <v>322</v>
      </c>
      <c r="I6" s="26">
        <f>'Котлован (оконч.)'!$C$69</f>
        <v>953.30324066620062</v>
      </c>
      <c r="J6" s="12">
        <f>I6/'Исходные данные'!$B$4</f>
        <v>916.63773140980823</v>
      </c>
    </row>
    <row r="7" spans="1:10" ht="31.2" x14ac:dyDescent="0.3">
      <c r="A7" s="3">
        <v>2</v>
      </c>
      <c r="B7" s="5" t="s">
        <v>323</v>
      </c>
      <c r="C7" s="26">
        <f>'Котлован (оконч.)'!$C$70</f>
        <v>140.26795907897184</v>
      </c>
      <c r="D7" s="5" t="s">
        <v>324</v>
      </c>
      <c r="E7" s="12">
        <f>(C8-J8)*'Исходные данные'!$B$7</f>
        <v>4567.4981109069467</v>
      </c>
      <c r="G7" s="3">
        <v>2</v>
      </c>
      <c r="H7" s="5" t="s">
        <v>325</v>
      </c>
      <c r="I7" s="26">
        <f>'Котлован (оконч.)'!$C$70</f>
        <v>140.26795907897184</v>
      </c>
      <c r="J7" s="12">
        <f>I7/'Исходные данные'!$B$4</f>
        <v>134.87303757593446</v>
      </c>
    </row>
    <row r="8" spans="1:10" ht="31.2" x14ac:dyDescent="0.3">
      <c r="A8" s="3"/>
      <c r="B8" s="27" t="s">
        <v>326</v>
      </c>
      <c r="C8" s="17">
        <f>C6+C7</f>
        <v>3971.7374877451716</v>
      </c>
      <c r="D8" s="27" t="s">
        <v>327</v>
      </c>
      <c r="E8" s="17">
        <f>E6+E7</f>
        <v>4567.4981109069467</v>
      </c>
      <c r="G8" s="3"/>
      <c r="H8" s="27" t="s">
        <v>328</v>
      </c>
      <c r="I8" s="3"/>
      <c r="J8" s="17">
        <v>0</v>
      </c>
    </row>
    <row r="10" spans="1:10" ht="15.6" x14ac:dyDescent="0.3">
      <c r="A10" s="40" t="s">
        <v>329</v>
      </c>
      <c r="B10" s="41"/>
      <c r="C10" s="41"/>
      <c r="D10" s="41"/>
      <c r="E10" s="12">
        <f>E6</f>
        <v>0</v>
      </c>
    </row>
    <row r="11" spans="1:10" ht="15.6" x14ac:dyDescent="0.3">
      <c r="A11" s="40" t="s">
        <v>330</v>
      </c>
      <c r="B11" s="41"/>
      <c r="C11" s="41"/>
      <c r="D11" s="41"/>
      <c r="E11" s="12">
        <f>E7</f>
        <v>4567.4981109069467</v>
      </c>
    </row>
    <row r="12" spans="1:10" ht="15.6" x14ac:dyDescent="0.3">
      <c r="A12" s="40" t="s">
        <v>331</v>
      </c>
      <c r="B12" s="41"/>
      <c r="C12" s="41"/>
      <c r="D12" s="41"/>
      <c r="E12" s="12">
        <f>MIN(C8-J8,'Табл. 4 распределение'!B19-SUM('Табл. 4 распределение'!C5:L5))*'Исходные данные'!$B$7</f>
        <v>4567.4981109069467</v>
      </c>
    </row>
    <row r="13" spans="1:10" ht="15.6" x14ac:dyDescent="0.3">
      <c r="A13" s="40" t="s">
        <v>332</v>
      </c>
      <c r="B13" s="41"/>
      <c r="C13" s="41"/>
      <c r="D13" s="41"/>
      <c r="E13" s="12">
        <f>E11-E12</f>
        <v>0</v>
      </c>
    </row>
    <row r="14" spans="1:10" ht="15.6" x14ac:dyDescent="0.3">
      <c r="A14" s="40" t="s">
        <v>333</v>
      </c>
      <c r="B14" s="41"/>
      <c r="C14" s="41"/>
      <c r="D14" s="41"/>
      <c r="E14" s="12">
        <f>J6</f>
        <v>916.63773140980823</v>
      </c>
      <c r="F14" s="12">
        <f>E14*'Исходные данные'!$B$7</f>
        <v>1054.1333911212794</v>
      </c>
    </row>
    <row r="15" spans="1:10" ht="15.6" x14ac:dyDescent="0.3">
      <c r="A15" s="40" t="s">
        <v>334</v>
      </c>
      <c r="B15" s="41"/>
      <c r="C15" s="41"/>
      <c r="D15" s="41"/>
      <c r="E15" s="12">
        <f>J7</f>
        <v>134.87303757593446</v>
      </c>
      <c r="F15" s="12">
        <f>E15*'Исходные данные'!$B$7</f>
        <v>155.10399321232461</v>
      </c>
    </row>
    <row r="16" spans="1:10" ht="15.6" x14ac:dyDescent="0.3">
      <c r="A16" s="40" t="s">
        <v>335</v>
      </c>
      <c r="B16" s="41"/>
      <c r="C16" s="41"/>
      <c r="D16" s="41"/>
      <c r="E16" s="12">
        <f>'Котлован (оконч.)'!$C$61/'Исходные данные'!$B$4</f>
        <v>162.19999999999999</v>
      </c>
      <c r="F16" s="12">
        <f>E16*'Исходные данные'!$B$7</f>
        <v>186.52999999999997</v>
      </c>
    </row>
    <row r="17" spans="1:5" ht="15.6" x14ac:dyDescent="0.3">
      <c r="A17" s="40" t="s">
        <v>336</v>
      </c>
      <c r="B17" s="41"/>
      <c r="C17" s="41"/>
      <c r="D17" s="41"/>
      <c r="E17" s="12">
        <f>E6+E7-C8*'Исходные данные'!$B$7</f>
        <v>0</v>
      </c>
    </row>
  </sheetData>
  <mergeCells count="11">
    <mergeCell ref="A17:D17"/>
    <mergeCell ref="A4:E4"/>
    <mergeCell ref="A12:D12"/>
    <mergeCell ref="G4:J4"/>
    <mergeCell ref="D5:E5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20"/>
  <sheetViews>
    <sheetView zoomScale="110" workbookViewId="0"/>
  </sheetViews>
  <sheetFormatPr defaultRowHeight="14.4" x14ac:dyDescent="0.3"/>
  <cols>
    <col min="1" max="1" width="12" customWidth="1"/>
    <col min="2" max="2" width="11" customWidth="1"/>
    <col min="3" max="14" width="10" customWidth="1"/>
    <col min="15" max="15" width="18" customWidth="1"/>
  </cols>
  <sheetData>
    <row r="1" spans="1:15" ht="17.399999999999999" x14ac:dyDescent="0.3">
      <c r="A1" s="1" t="s">
        <v>337</v>
      </c>
    </row>
    <row r="2" spans="1:15" x14ac:dyDescent="0.3">
      <c r="A2" s="7" t="s">
        <v>338</v>
      </c>
    </row>
    <row r="4" spans="1:15" ht="31.2" x14ac:dyDescent="0.3">
      <c r="A4" s="2" t="s">
        <v>311</v>
      </c>
      <c r="B4" s="2" t="s">
        <v>1</v>
      </c>
      <c r="C4" s="2" t="s">
        <v>96</v>
      </c>
      <c r="D4" s="2" t="s">
        <v>98</v>
      </c>
      <c r="E4" s="2" t="s">
        <v>104</v>
      </c>
      <c r="F4" s="2" t="s">
        <v>105</v>
      </c>
      <c r="G4" s="2" t="s">
        <v>107</v>
      </c>
      <c r="H4" s="2" t="s">
        <v>111</v>
      </c>
      <c r="I4" s="2" t="s">
        <v>112</v>
      </c>
      <c r="J4" s="2" t="s">
        <v>113</v>
      </c>
      <c r="K4" s="2" t="s">
        <v>115</v>
      </c>
      <c r="L4" s="2" t="s">
        <v>117</v>
      </c>
      <c r="M4" s="2" t="s">
        <v>320</v>
      </c>
      <c r="N4" s="2" t="s">
        <v>339</v>
      </c>
    </row>
    <row r="5" spans="1:15" ht="15.6" x14ac:dyDescent="0.3">
      <c r="A5" s="31"/>
      <c r="B5" s="2" t="s">
        <v>340</v>
      </c>
      <c r="C5" s="10">
        <v>2383.1875690434781</v>
      </c>
      <c r="D5" s="10">
        <v>303.0587916482437</v>
      </c>
      <c r="E5" s="10">
        <v>4243</v>
      </c>
      <c r="F5" s="10">
        <v>2201.3095856658601</v>
      </c>
      <c r="G5" s="10">
        <v>270.72457505668928</v>
      </c>
      <c r="H5" s="10">
        <v>4868</v>
      </c>
      <c r="I5" s="10">
        <v>5268</v>
      </c>
      <c r="J5" s="10">
        <v>2451.7321491156458</v>
      </c>
      <c r="K5" s="10">
        <v>1459.9414587100659</v>
      </c>
      <c r="L5" s="10">
        <v>426.97113047597901</v>
      </c>
      <c r="M5" s="10">
        <v>3971.737487745173</v>
      </c>
      <c r="N5" s="10">
        <v>239.54560791275179</v>
      </c>
    </row>
    <row r="6" spans="1:15" ht="31.95" customHeight="1" x14ac:dyDescent="0.3">
      <c r="A6" s="2" t="s">
        <v>341</v>
      </c>
      <c r="B6" s="2" t="s">
        <v>340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2" t="s">
        <v>342</v>
      </c>
    </row>
    <row r="7" spans="1:15" ht="15.6" x14ac:dyDescent="0.3">
      <c r="A7" s="15" t="s">
        <v>97</v>
      </c>
      <c r="B7" s="10">
        <v>7.0509124860646599</v>
      </c>
      <c r="C7" s="10">
        <v>7.0509124860646599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2">
        <f t="shared" ref="O7:O18" si="0">SUM(C7:N7)-B7</f>
        <v>0</v>
      </c>
    </row>
    <row r="8" spans="1:15" ht="15.6" x14ac:dyDescent="0.3">
      <c r="A8" s="15" t="s">
        <v>99</v>
      </c>
      <c r="B8" s="10">
        <v>867.26713655688457</v>
      </c>
      <c r="C8" s="10">
        <v>867.26713655688457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2">
        <f t="shared" si="0"/>
        <v>0</v>
      </c>
    </row>
    <row r="9" spans="1:15" ht="15.6" x14ac:dyDescent="0.3">
      <c r="A9" s="15" t="s">
        <v>101</v>
      </c>
      <c r="B9" s="10">
        <v>3324.038461538461</v>
      </c>
      <c r="C9" s="10">
        <v>1508.8695200005291</v>
      </c>
      <c r="D9" s="10">
        <v>303.0587916482437</v>
      </c>
      <c r="E9" s="10">
        <v>1512.110149889689</v>
      </c>
      <c r="F9" s="10"/>
      <c r="G9" s="10"/>
      <c r="H9" s="10"/>
      <c r="I9" s="10"/>
      <c r="J9" s="10"/>
      <c r="K9" s="10"/>
      <c r="L9" s="10"/>
      <c r="M9" s="10"/>
      <c r="N9" s="10"/>
      <c r="O9" s="12">
        <f t="shared" si="0"/>
        <v>0</v>
      </c>
    </row>
    <row r="10" spans="1:15" ht="15.6" x14ac:dyDescent="0.3">
      <c r="A10" s="15" t="s">
        <v>102</v>
      </c>
      <c r="B10" s="10">
        <v>5439.4230769230771</v>
      </c>
      <c r="C10" s="10"/>
      <c r="D10" s="10"/>
      <c r="E10" s="10">
        <v>2676.9564323416389</v>
      </c>
      <c r="F10" s="10">
        <v>2201.3095856658601</v>
      </c>
      <c r="G10" s="10"/>
      <c r="H10" s="10">
        <v>561.1570589155782</v>
      </c>
      <c r="I10" s="10"/>
      <c r="J10" s="10"/>
      <c r="K10" s="10"/>
      <c r="L10" s="10"/>
      <c r="M10" s="10"/>
      <c r="N10" s="10"/>
      <c r="O10" s="12">
        <f t="shared" si="0"/>
        <v>0</v>
      </c>
    </row>
    <row r="11" spans="1:15" ht="15.6" x14ac:dyDescent="0.3">
      <c r="A11" s="15" t="s">
        <v>103</v>
      </c>
      <c r="B11" s="10">
        <v>6232.6923076923076</v>
      </c>
      <c r="C11" s="10"/>
      <c r="D11" s="10"/>
      <c r="E11" s="10"/>
      <c r="F11" s="10"/>
      <c r="G11" s="10"/>
      <c r="H11" s="10">
        <v>2021.409212034383</v>
      </c>
      <c r="I11" s="10"/>
      <c r="J11" s="10"/>
      <c r="K11" s="10"/>
      <c r="L11" s="10"/>
      <c r="M11" s="10">
        <v>3971.737487745173</v>
      </c>
      <c r="N11" s="10">
        <v>239.54560791275179</v>
      </c>
      <c r="O11" s="12">
        <f t="shared" si="0"/>
        <v>0</v>
      </c>
    </row>
    <row r="12" spans="1:15" ht="15.6" x14ac:dyDescent="0.3">
      <c r="A12" s="15" t="s">
        <v>106</v>
      </c>
      <c r="B12" s="10">
        <v>53.933417768672008</v>
      </c>
      <c r="C12" s="10"/>
      <c r="D12" s="10"/>
      <c r="E12" s="10">
        <v>53.933417768672008</v>
      </c>
      <c r="F12" s="10"/>
      <c r="G12" s="10"/>
      <c r="H12" s="10"/>
      <c r="I12" s="10"/>
      <c r="J12" s="10"/>
      <c r="K12" s="10"/>
      <c r="L12" s="10"/>
      <c r="M12" s="10"/>
      <c r="N12" s="10"/>
      <c r="O12" s="12">
        <f t="shared" si="0"/>
        <v>0</v>
      </c>
    </row>
    <row r="13" spans="1:15" ht="15.6" x14ac:dyDescent="0.3">
      <c r="A13" s="15" t="s">
        <v>108</v>
      </c>
      <c r="B13" s="10">
        <v>1123.1065578231289</v>
      </c>
      <c r="C13" s="10"/>
      <c r="D13" s="10"/>
      <c r="E13" s="10"/>
      <c r="F13" s="10"/>
      <c r="G13" s="10"/>
      <c r="H13" s="10">
        <v>1123.1065578231289</v>
      </c>
      <c r="I13" s="10"/>
      <c r="J13" s="10"/>
      <c r="K13" s="10"/>
      <c r="L13" s="10"/>
      <c r="M13" s="10"/>
      <c r="N13" s="10"/>
      <c r="O13" s="12">
        <f t="shared" si="0"/>
        <v>0</v>
      </c>
    </row>
    <row r="14" spans="1:15" ht="15.6" x14ac:dyDescent="0.3">
      <c r="A14" s="15" t="s">
        <v>109</v>
      </c>
      <c r="B14" s="10">
        <v>3925</v>
      </c>
      <c r="C14" s="10"/>
      <c r="D14" s="10"/>
      <c r="E14" s="10"/>
      <c r="F14" s="10"/>
      <c r="G14" s="10">
        <v>270.72457505668928</v>
      </c>
      <c r="H14" s="10">
        <v>1162.32717122691</v>
      </c>
      <c r="I14" s="10">
        <v>2491.9482537164008</v>
      </c>
      <c r="J14" s="10"/>
      <c r="K14" s="10"/>
      <c r="L14" s="10"/>
      <c r="M14" s="10"/>
      <c r="N14" s="10"/>
      <c r="O14" s="12">
        <f t="shared" si="0"/>
        <v>0</v>
      </c>
    </row>
    <row r="15" spans="1:15" ht="15.6" x14ac:dyDescent="0.3">
      <c r="A15" s="15" t="s">
        <v>110</v>
      </c>
      <c r="B15" s="10">
        <v>5295.1923076923076</v>
      </c>
      <c r="C15" s="10"/>
      <c r="D15" s="10"/>
      <c r="E15" s="10"/>
      <c r="F15" s="10"/>
      <c r="G15" s="10"/>
      <c r="H15" s="10"/>
      <c r="I15" s="10">
        <v>2770.8195165027978</v>
      </c>
      <c r="J15" s="10">
        <v>2181.4877479471938</v>
      </c>
      <c r="K15" s="10">
        <v>342.88504324231548</v>
      </c>
      <c r="L15" s="10"/>
      <c r="M15" s="10"/>
      <c r="N15" s="10"/>
      <c r="O15" s="12">
        <f t="shared" si="0"/>
        <v>0</v>
      </c>
    </row>
    <row r="16" spans="1:15" ht="15.6" x14ac:dyDescent="0.3">
      <c r="A16" s="15" t="s">
        <v>114</v>
      </c>
      <c r="B16" s="10">
        <v>5.2322297808012097</v>
      </c>
      <c r="C16" s="10"/>
      <c r="D16" s="10"/>
      <c r="E16" s="10"/>
      <c r="F16" s="10"/>
      <c r="G16" s="10"/>
      <c r="H16" s="10"/>
      <c r="I16" s="10">
        <v>5.2322297808012097</v>
      </c>
      <c r="J16" s="10"/>
      <c r="K16" s="10"/>
      <c r="L16" s="10"/>
      <c r="M16" s="10"/>
      <c r="N16" s="10"/>
      <c r="O16" s="12">
        <f t="shared" si="0"/>
        <v>0</v>
      </c>
    </row>
    <row r="17" spans="1:15" ht="15.6" x14ac:dyDescent="0.3">
      <c r="A17" s="15" t="s">
        <v>116</v>
      </c>
      <c r="B17" s="10">
        <v>270.24440116845182</v>
      </c>
      <c r="C17" s="10"/>
      <c r="D17" s="10"/>
      <c r="E17" s="10"/>
      <c r="F17" s="10"/>
      <c r="G17" s="10"/>
      <c r="H17" s="10"/>
      <c r="I17" s="10"/>
      <c r="J17" s="10">
        <v>270.24440116845182</v>
      </c>
      <c r="K17" s="10"/>
      <c r="L17" s="10"/>
      <c r="M17" s="10"/>
      <c r="N17" s="10"/>
      <c r="O17" s="12">
        <f t="shared" si="0"/>
        <v>0</v>
      </c>
    </row>
    <row r="18" spans="1:15" ht="15.6" x14ac:dyDescent="0.3">
      <c r="A18" s="15" t="s">
        <v>118</v>
      </c>
      <c r="B18" s="10">
        <v>1544.02754594373</v>
      </c>
      <c r="C18" s="10"/>
      <c r="D18" s="10"/>
      <c r="E18" s="10"/>
      <c r="F18" s="10"/>
      <c r="G18" s="10"/>
      <c r="H18" s="10"/>
      <c r="I18" s="10"/>
      <c r="J18" s="10"/>
      <c r="K18" s="10">
        <v>1117.0564154677511</v>
      </c>
      <c r="L18" s="10">
        <v>426.97113047597901</v>
      </c>
      <c r="M18" s="10"/>
      <c r="N18" s="10"/>
      <c r="O18" s="12">
        <f t="shared" si="0"/>
        <v>0</v>
      </c>
    </row>
    <row r="19" spans="1:15" ht="15.6" x14ac:dyDescent="0.3">
      <c r="A19" s="15" t="s">
        <v>119</v>
      </c>
      <c r="B19" s="17">
        <f t="shared" ref="B19:N19" si="1">SUM(B7:B18)</f>
        <v>28087.208355373888</v>
      </c>
      <c r="C19" s="17">
        <f t="shared" si="1"/>
        <v>2383.1875690434781</v>
      </c>
      <c r="D19" s="17">
        <f t="shared" si="1"/>
        <v>303.0587916482437</v>
      </c>
      <c r="E19" s="17">
        <f t="shared" si="1"/>
        <v>4243</v>
      </c>
      <c r="F19" s="17">
        <f t="shared" si="1"/>
        <v>2201.3095856658601</v>
      </c>
      <c r="G19" s="17">
        <f t="shared" si="1"/>
        <v>270.72457505668928</v>
      </c>
      <c r="H19" s="17">
        <f t="shared" si="1"/>
        <v>4868</v>
      </c>
      <c r="I19" s="17">
        <f t="shared" si="1"/>
        <v>5268</v>
      </c>
      <c r="J19" s="17">
        <f t="shared" si="1"/>
        <v>2451.7321491156458</v>
      </c>
      <c r="K19" s="17">
        <f t="shared" si="1"/>
        <v>1459.9414587100666</v>
      </c>
      <c r="L19" s="17">
        <f t="shared" si="1"/>
        <v>426.97113047597901</v>
      </c>
      <c r="M19" s="17">
        <f t="shared" si="1"/>
        <v>3971.737487745173</v>
      </c>
      <c r="N19" s="17">
        <f t="shared" si="1"/>
        <v>239.54560791275179</v>
      </c>
    </row>
    <row r="20" spans="1:15" ht="15.6" x14ac:dyDescent="0.3">
      <c r="A20" s="40" t="s">
        <v>343</v>
      </c>
      <c r="B20" s="45"/>
      <c r="C20" s="12">
        <f t="shared" ref="C20:N20" si="2">C19-C5</f>
        <v>0</v>
      </c>
      <c r="D20" s="12">
        <f t="shared" si="2"/>
        <v>0</v>
      </c>
      <c r="E20" s="12">
        <f t="shared" si="2"/>
        <v>0</v>
      </c>
      <c r="F20" s="12">
        <f t="shared" si="2"/>
        <v>0</v>
      </c>
      <c r="G20" s="12">
        <f t="shared" si="2"/>
        <v>0</v>
      </c>
      <c r="H20" s="12">
        <f t="shared" si="2"/>
        <v>0</v>
      </c>
      <c r="I20" s="12">
        <f t="shared" si="2"/>
        <v>0</v>
      </c>
      <c r="J20" s="12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</row>
  </sheetData>
  <mergeCells count="1">
    <mergeCell ref="A20:B20"/>
  </mergeCells>
  <pageMargins left="0.75" right="0.75" top="1" bottom="1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15"/>
  <sheetViews>
    <sheetView zoomScale="110" workbookViewId="0"/>
  </sheetViews>
  <sheetFormatPr defaultRowHeight="14.4" x14ac:dyDescent="0.3"/>
  <cols>
    <col min="1" max="1" width="30" customWidth="1"/>
    <col min="2" max="23" width="11" customWidth="1"/>
  </cols>
  <sheetData>
    <row r="1" spans="1:23" ht="17.399999999999999" x14ac:dyDescent="0.3">
      <c r="A1" s="1" t="s">
        <v>344</v>
      </c>
    </row>
    <row r="2" spans="1:23" ht="15.6" x14ac:dyDescent="0.3">
      <c r="A2" s="31"/>
      <c r="B2" s="2" t="s">
        <v>311</v>
      </c>
      <c r="C2" s="2" t="s">
        <v>311</v>
      </c>
      <c r="D2" s="2" t="s">
        <v>311</v>
      </c>
      <c r="E2" s="2" t="s">
        <v>311</v>
      </c>
      <c r="F2" s="2" t="s">
        <v>311</v>
      </c>
      <c r="G2" s="2" t="s">
        <v>311</v>
      </c>
      <c r="H2" s="2" t="s">
        <v>311</v>
      </c>
      <c r="I2" s="2" t="s">
        <v>311</v>
      </c>
      <c r="J2" s="2" t="s">
        <v>311</v>
      </c>
      <c r="K2" s="2" t="s">
        <v>311</v>
      </c>
      <c r="L2" s="2" t="s">
        <v>312</v>
      </c>
      <c r="M2" s="2" t="s">
        <v>312</v>
      </c>
      <c r="N2" s="2" t="s">
        <v>312</v>
      </c>
      <c r="O2" s="2" t="s">
        <v>312</v>
      </c>
      <c r="P2" s="2" t="s">
        <v>312</v>
      </c>
      <c r="Q2" s="2" t="s">
        <v>312</v>
      </c>
      <c r="R2" s="2" t="s">
        <v>312</v>
      </c>
      <c r="S2" s="2" t="s">
        <v>312</v>
      </c>
      <c r="T2" s="2" t="s">
        <v>312</v>
      </c>
      <c r="U2" s="2" t="s">
        <v>312</v>
      </c>
      <c r="V2" s="2" t="s">
        <v>312</v>
      </c>
      <c r="W2" s="2" t="s">
        <v>312</v>
      </c>
    </row>
    <row r="3" spans="1:23" ht="15.6" x14ac:dyDescent="0.3">
      <c r="A3" s="2" t="s">
        <v>345</v>
      </c>
      <c r="B3" s="2" t="s">
        <v>96</v>
      </c>
      <c r="C3" s="2" t="s">
        <v>98</v>
      </c>
      <c r="D3" s="2" t="s">
        <v>104</v>
      </c>
      <c r="E3" s="2" t="s">
        <v>105</v>
      </c>
      <c r="F3" s="2" t="s">
        <v>107</v>
      </c>
      <c r="G3" s="2" t="s">
        <v>111</v>
      </c>
      <c r="H3" s="2" t="s">
        <v>112</v>
      </c>
      <c r="I3" s="2" t="s">
        <v>113</v>
      </c>
      <c r="J3" s="2" t="s">
        <v>115</v>
      </c>
      <c r="K3" s="2" t="s">
        <v>117</v>
      </c>
      <c r="L3" s="2" t="s">
        <v>97</v>
      </c>
      <c r="M3" s="2" t="s">
        <v>99</v>
      </c>
      <c r="N3" s="2" t="s">
        <v>101</v>
      </c>
      <c r="O3" s="2" t="s">
        <v>102</v>
      </c>
      <c r="P3" s="2" t="s">
        <v>103</v>
      </c>
      <c r="Q3" s="2" t="s">
        <v>106</v>
      </c>
      <c r="R3" s="2" t="s">
        <v>108</v>
      </c>
      <c r="S3" s="2" t="s">
        <v>109</v>
      </c>
      <c r="T3" s="2" t="s">
        <v>110</v>
      </c>
      <c r="U3" s="2" t="s">
        <v>114</v>
      </c>
      <c r="V3" s="2" t="s">
        <v>116</v>
      </c>
      <c r="W3" s="2" t="s">
        <v>118</v>
      </c>
    </row>
    <row r="4" spans="1:23" ht="15.6" x14ac:dyDescent="0.3">
      <c r="A4" s="15" t="s">
        <v>126</v>
      </c>
      <c r="B4" s="10">
        <v>2383.1875690434781</v>
      </c>
      <c r="C4" s="10">
        <v>303.0587916482437</v>
      </c>
      <c r="D4" s="10">
        <v>4243</v>
      </c>
      <c r="E4" s="10">
        <v>2201.3095856658601</v>
      </c>
      <c r="F4" s="10">
        <v>270.72457505668928</v>
      </c>
      <c r="G4" s="10">
        <v>4868</v>
      </c>
      <c r="H4" s="10">
        <v>5268</v>
      </c>
      <c r="I4" s="10">
        <v>2451.7321491156458</v>
      </c>
      <c r="J4" s="10">
        <v>1459.9414587100659</v>
      </c>
      <c r="K4" s="10">
        <v>426.97113047597901</v>
      </c>
      <c r="L4" s="10">
        <v>7.0509124860646599</v>
      </c>
      <c r="M4" s="10">
        <v>867.26713655688457</v>
      </c>
      <c r="N4" s="10">
        <v>3324.038461538461</v>
      </c>
      <c r="O4" s="10">
        <v>5439.4230769230771</v>
      </c>
      <c r="P4" s="10">
        <v>2021.409212034383</v>
      </c>
      <c r="Q4" s="10">
        <v>53.933417768672008</v>
      </c>
      <c r="R4" s="10">
        <v>1123.1065578231289</v>
      </c>
      <c r="S4" s="10">
        <v>3925</v>
      </c>
      <c r="T4" s="10">
        <v>5295.1923076923076</v>
      </c>
      <c r="U4" s="10">
        <v>5.2322297808012097</v>
      </c>
      <c r="V4" s="10">
        <v>270.24440116845182</v>
      </c>
      <c r="W4" s="10">
        <v>1544.02754594373</v>
      </c>
    </row>
    <row r="5" spans="1:23" ht="15.6" x14ac:dyDescent="0.3">
      <c r="A5" s="15" t="s">
        <v>346</v>
      </c>
      <c r="B5" s="10">
        <v>48.979029165670333</v>
      </c>
      <c r="C5" s="10">
        <v>120.7231638418079</v>
      </c>
      <c r="D5" s="10">
        <v>50</v>
      </c>
      <c r="E5" s="10">
        <v>146.95130743374321</v>
      </c>
      <c r="F5" s="10">
        <v>226.73015873015871</v>
      </c>
      <c r="G5" s="10">
        <v>50</v>
      </c>
      <c r="H5" s="10">
        <v>150</v>
      </c>
      <c r="I5" s="10">
        <v>249.13147569639941</v>
      </c>
      <c r="J5" s="10">
        <v>347.81748730504171</v>
      </c>
      <c r="K5" s="10">
        <v>428.46783625731001</v>
      </c>
      <c r="L5" s="10">
        <v>92.233333333333334</v>
      </c>
      <c r="M5" s="10">
        <v>159.6482455516244</v>
      </c>
      <c r="N5" s="10">
        <v>250</v>
      </c>
      <c r="O5" s="10">
        <v>350</v>
      </c>
      <c r="P5" s="10">
        <v>450</v>
      </c>
      <c r="Q5" s="10">
        <v>187.3898305084746</v>
      </c>
      <c r="R5" s="10">
        <v>257.3945376704059</v>
      </c>
      <c r="S5" s="10">
        <v>350</v>
      </c>
      <c r="T5" s="10">
        <v>450</v>
      </c>
      <c r="U5" s="10">
        <v>293.39682539682542</v>
      </c>
      <c r="V5" s="10">
        <v>355.31891384215908</v>
      </c>
      <c r="W5" s="10">
        <v>457.68892415882038</v>
      </c>
    </row>
    <row r="6" spans="1:23" ht="15.6" x14ac:dyDescent="0.3">
      <c r="A6" s="15" t="s">
        <v>347</v>
      </c>
      <c r="B6" s="10">
        <v>248.95453931929589</v>
      </c>
      <c r="C6" s="10">
        <v>226.5797101449275</v>
      </c>
      <c r="D6" s="10">
        <v>150</v>
      </c>
      <c r="E6" s="10">
        <v>147.00639001540259</v>
      </c>
      <c r="F6" s="10">
        <v>120.04761904761909</v>
      </c>
      <c r="G6" s="10">
        <v>50</v>
      </c>
      <c r="H6" s="10">
        <v>50</v>
      </c>
      <c r="I6" s="10">
        <v>49.131475696399441</v>
      </c>
      <c r="J6" s="10">
        <v>35.655331076269668</v>
      </c>
      <c r="K6" s="10">
        <v>20.540084388185651</v>
      </c>
      <c r="L6" s="10">
        <v>293.24637681159419</v>
      </c>
      <c r="M6" s="10">
        <v>257.71820787570749</v>
      </c>
      <c r="N6" s="10">
        <v>250</v>
      </c>
      <c r="O6" s="10">
        <v>250</v>
      </c>
      <c r="P6" s="10">
        <v>250</v>
      </c>
      <c r="Q6" s="10">
        <v>186.71428571428569</v>
      </c>
      <c r="R6" s="10">
        <v>159.51807133973799</v>
      </c>
      <c r="S6" s="10">
        <v>150</v>
      </c>
      <c r="T6" s="10">
        <v>150</v>
      </c>
      <c r="U6" s="10">
        <v>93.396825396825392</v>
      </c>
      <c r="V6" s="10">
        <v>84.958815257235571</v>
      </c>
      <c r="W6" s="10">
        <v>60.519846475781527</v>
      </c>
    </row>
    <row r="7" spans="1:23" ht="15.6" x14ac:dyDescent="0.3">
      <c r="A7" s="15" t="s">
        <v>348</v>
      </c>
      <c r="B7" s="23">
        <f t="shared" ref="B7:W7" si="0">B5*B4</f>
        <v>116726.2134514435</v>
      </c>
      <c r="C7" s="23">
        <f t="shared" si="0"/>
        <v>36586.216157851246</v>
      </c>
      <c r="D7" s="23">
        <f t="shared" si="0"/>
        <v>212150</v>
      </c>
      <c r="E7" s="23">
        <f t="shared" si="0"/>
        <v>323485.32168002968</v>
      </c>
      <c r="F7" s="23">
        <f t="shared" si="0"/>
        <v>61381.425874757922</v>
      </c>
      <c r="G7" s="23">
        <f t="shared" si="0"/>
        <v>243400</v>
      </c>
      <c r="H7" s="23">
        <f t="shared" si="0"/>
        <v>790200</v>
      </c>
      <c r="I7" s="23">
        <f t="shared" si="0"/>
        <v>610803.64832148561</v>
      </c>
      <c r="J7" s="23">
        <f t="shared" si="0"/>
        <v>507793.16978099244</v>
      </c>
      <c r="K7" s="23">
        <f t="shared" si="0"/>
        <v>182943.39641938033</v>
      </c>
      <c r="L7" s="23">
        <f t="shared" si="0"/>
        <v>650.32916163136383</v>
      </c>
      <c r="M7" s="23">
        <f t="shared" si="0"/>
        <v>138457.67677588767</v>
      </c>
      <c r="N7" s="23">
        <f t="shared" si="0"/>
        <v>831009.61538461526</v>
      </c>
      <c r="O7" s="23">
        <f t="shared" si="0"/>
        <v>1903798.076923077</v>
      </c>
      <c r="P7" s="23">
        <f t="shared" si="0"/>
        <v>909634.14541547233</v>
      </c>
      <c r="Q7" s="23">
        <f t="shared" si="0"/>
        <v>10106.5740144142</v>
      </c>
      <c r="R7" s="23">
        <f t="shared" si="0"/>
        <v>289081.49320548528</v>
      </c>
      <c r="S7" s="23">
        <f t="shared" si="0"/>
        <v>1373750</v>
      </c>
      <c r="T7" s="23">
        <f t="shared" si="0"/>
        <v>2382836.5384615385</v>
      </c>
      <c r="U7" s="23">
        <f t="shared" si="0"/>
        <v>1535.1196074338027</v>
      </c>
      <c r="V7" s="23">
        <f t="shared" si="0"/>
        <v>96022.947095099007</v>
      </c>
      <c r="W7" s="23">
        <f t="shared" si="0"/>
        <v>706684.30637456942</v>
      </c>
    </row>
    <row r="8" spans="1:23" ht="15.6" x14ac:dyDescent="0.3">
      <c r="A8" s="15" t="s">
        <v>349</v>
      </c>
      <c r="B8" s="23">
        <f t="shared" ref="B8:W8" si="1">B6*B4</f>
        <v>593305.36336269171</v>
      </c>
      <c r="C8" s="23">
        <f t="shared" si="1"/>
        <v>68666.97316853104</v>
      </c>
      <c r="D8" s="23">
        <f t="shared" si="1"/>
        <v>636450</v>
      </c>
      <c r="E8" s="23">
        <f t="shared" si="1"/>
        <v>323606.57549503969</v>
      </c>
      <c r="F8" s="23">
        <f t="shared" si="1"/>
        <v>32499.840653233998</v>
      </c>
      <c r="G8" s="23">
        <f t="shared" si="1"/>
        <v>243400</v>
      </c>
      <c r="H8" s="23">
        <f t="shared" si="1"/>
        <v>263400</v>
      </c>
      <c r="I8" s="23">
        <f t="shared" si="1"/>
        <v>120457.21849835652</v>
      </c>
      <c r="J8" s="23">
        <f t="shared" si="1"/>
        <v>52054.696062279487</v>
      </c>
      <c r="K8" s="23">
        <f t="shared" si="1"/>
        <v>8770.023051295635</v>
      </c>
      <c r="L8" s="23">
        <f t="shared" si="1"/>
        <v>2067.6545397540917</v>
      </c>
      <c r="M8" s="23">
        <f t="shared" si="1"/>
        <v>223510.53218293676</v>
      </c>
      <c r="N8" s="23">
        <f t="shared" si="1"/>
        <v>831009.61538461526</v>
      </c>
      <c r="O8" s="23">
        <f t="shared" si="1"/>
        <v>1359855.7692307692</v>
      </c>
      <c r="P8" s="23">
        <f t="shared" si="1"/>
        <v>505352.30300859577</v>
      </c>
      <c r="Q8" s="23">
        <f t="shared" si="1"/>
        <v>10070.139574807758</v>
      </c>
      <c r="R8" s="23">
        <f t="shared" si="1"/>
        <v>179155.79201295745</v>
      </c>
      <c r="S8" s="23">
        <f t="shared" si="1"/>
        <v>588750</v>
      </c>
      <c r="T8" s="23">
        <f t="shared" si="1"/>
        <v>794278.84615384613</v>
      </c>
      <c r="U8" s="23">
        <f t="shared" si="1"/>
        <v>488.67365127356055</v>
      </c>
      <c r="V8" s="23">
        <f t="shared" si="1"/>
        <v>22959.644153172754</v>
      </c>
      <c r="W8" s="23">
        <f t="shared" si="1"/>
        <v>93444.310034892245</v>
      </c>
    </row>
    <row r="11" spans="1:23" ht="15.6" x14ac:dyDescent="0.3">
      <c r="A11" s="40" t="s">
        <v>350</v>
      </c>
      <c r="B11" s="41"/>
      <c r="C11" s="17">
        <f>SUM(B7:K7)/SUM(B4:K4)</f>
        <v>129.22931187474518</v>
      </c>
    </row>
    <row r="12" spans="1:23" ht="15.6" x14ac:dyDescent="0.3">
      <c r="A12" s="40" t="s">
        <v>351</v>
      </c>
      <c r="B12" s="41"/>
      <c r="C12" s="17">
        <f>SUM(B8:K8)/SUM(B4:K4)</f>
        <v>98.116017067784028</v>
      </c>
    </row>
    <row r="13" spans="1:23" ht="15.6" x14ac:dyDescent="0.3">
      <c r="A13" s="40" t="s">
        <v>352</v>
      </c>
      <c r="B13" s="41"/>
      <c r="C13" s="17">
        <f>SUM(L7:W7)/SUM(L4:W4)</f>
        <v>362.02018260640386</v>
      </c>
    </row>
    <row r="14" spans="1:23" ht="15.6" x14ac:dyDescent="0.3">
      <c r="A14" s="40" t="s">
        <v>353</v>
      </c>
      <c r="B14" s="41"/>
      <c r="C14" s="17">
        <f>SUM(L8:W8)/SUM(L4:W4)</f>
        <v>193.12103006568361</v>
      </c>
    </row>
    <row r="15" spans="1:23" ht="15.6" x14ac:dyDescent="0.3">
      <c r="A15" s="40" t="s">
        <v>354</v>
      </c>
      <c r="B15" s="41"/>
      <c r="C15" s="17">
        <f>SQRT((C11-C13)^2+(C12-C14)^2)</f>
        <v>251.43098852515158</v>
      </c>
    </row>
  </sheetData>
  <mergeCells count="5">
    <mergeCell ref="A15:B15"/>
    <mergeCell ref="A11:B11"/>
    <mergeCell ref="A13:B13"/>
    <mergeCell ref="A14:B14"/>
    <mergeCell ref="A12:B12"/>
  </mergeCells>
  <pageMargins left="0.75" right="0.75" top="1" bottom="1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C15"/>
  <sheetViews>
    <sheetView zoomScale="110" workbookViewId="0"/>
  </sheetViews>
  <sheetFormatPr defaultRowHeight="14.4" x14ac:dyDescent="0.3"/>
  <cols>
    <col min="1" max="1" width="30" customWidth="1"/>
    <col min="2" max="3" width="11" customWidth="1"/>
  </cols>
  <sheetData>
    <row r="1" spans="1:3" ht="17.399999999999999" x14ac:dyDescent="0.3">
      <c r="A1" s="1" t="s">
        <v>355</v>
      </c>
    </row>
    <row r="2" spans="1:3" ht="31.2" x14ac:dyDescent="0.3">
      <c r="A2" s="31"/>
      <c r="B2" s="2" t="s">
        <v>320</v>
      </c>
      <c r="C2" s="2" t="s">
        <v>312</v>
      </c>
    </row>
    <row r="3" spans="1:3" ht="15.6" x14ac:dyDescent="0.3">
      <c r="A3" s="2" t="s">
        <v>345</v>
      </c>
      <c r="B3" s="2" t="s">
        <v>356</v>
      </c>
      <c r="C3" s="2" t="s">
        <v>103</v>
      </c>
    </row>
    <row r="4" spans="1:3" ht="15.6" x14ac:dyDescent="0.3">
      <c r="A4" s="15" t="s">
        <v>126</v>
      </c>
      <c r="B4" s="10">
        <v>3971.737487745173</v>
      </c>
      <c r="C4" s="10">
        <v>3971.737487745173</v>
      </c>
    </row>
    <row r="5" spans="1:3" ht="15.6" x14ac:dyDescent="0.3">
      <c r="A5" s="15" t="s">
        <v>346</v>
      </c>
      <c r="B5" s="10">
        <v>250</v>
      </c>
      <c r="C5" s="10">
        <v>450</v>
      </c>
    </row>
    <row r="6" spans="1:3" ht="15.6" x14ac:dyDescent="0.3">
      <c r="A6" s="15" t="s">
        <v>347</v>
      </c>
      <c r="B6" s="10">
        <v>150</v>
      </c>
      <c r="C6" s="10">
        <v>250</v>
      </c>
    </row>
    <row r="7" spans="1:3" ht="15.6" x14ac:dyDescent="0.3">
      <c r="A7" s="15" t="s">
        <v>348</v>
      </c>
      <c r="B7" s="23">
        <f>B5*B4</f>
        <v>992934.3719362932</v>
      </c>
      <c r="C7" s="23">
        <f>C5*C4</f>
        <v>1787281.8694853277</v>
      </c>
    </row>
    <row r="8" spans="1:3" ht="15.6" x14ac:dyDescent="0.3">
      <c r="A8" s="15" t="s">
        <v>349</v>
      </c>
      <c r="B8" s="23">
        <f>B6*B4</f>
        <v>595760.62316177599</v>
      </c>
      <c r="C8" s="23">
        <f>C6*C4</f>
        <v>992934.3719362932</v>
      </c>
    </row>
    <row r="11" spans="1:3" ht="15.6" x14ac:dyDescent="0.3">
      <c r="A11" s="40" t="s">
        <v>357</v>
      </c>
      <c r="B11" s="41"/>
      <c r="C11" s="17">
        <f>SUM(B7:B7)/SUM(B4:B4)</f>
        <v>250</v>
      </c>
    </row>
    <row r="12" spans="1:3" ht="15.6" x14ac:dyDescent="0.3">
      <c r="A12" s="40" t="s">
        <v>358</v>
      </c>
      <c r="B12" s="41"/>
      <c r="C12" s="17">
        <f>SUM(B8:B8)/SUM(B4:B4)</f>
        <v>150</v>
      </c>
    </row>
    <row r="13" spans="1:3" ht="15.6" x14ac:dyDescent="0.3">
      <c r="A13" s="40" t="s">
        <v>352</v>
      </c>
      <c r="B13" s="41"/>
      <c r="C13" s="17">
        <f>SUM(C7:C7)/SUM(C4:C4)</f>
        <v>450</v>
      </c>
    </row>
    <row r="14" spans="1:3" ht="15.6" x14ac:dyDescent="0.3">
      <c r="A14" s="40" t="s">
        <v>353</v>
      </c>
      <c r="B14" s="41"/>
      <c r="C14" s="17">
        <f>SUM(C8:C8)/SUM(C4:C4)</f>
        <v>250</v>
      </c>
    </row>
    <row r="15" spans="1:3" ht="15.6" x14ac:dyDescent="0.3">
      <c r="A15" s="40" t="s">
        <v>354</v>
      </c>
      <c r="B15" s="41"/>
      <c r="C15" s="17">
        <f>SQRT((C11-C13)^2+(C12-C14)^2)</f>
        <v>223.60679774997897</v>
      </c>
    </row>
  </sheetData>
  <mergeCells count="5">
    <mergeCell ref="A15:B15"/>
    <mergeCell ref="A11:B11"/>
    <mergeCell ref="A13:B13"/>
    <mergeCell ref="A14:B14"/>
    <mergeCell ref="A12:B12"/>
  </mergeCells>
  <pageMargins left="0.75" right="0.75" top="1" bottom="1" header="0.5" footer="0.5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5"/>
  <sheetViews>
    <sheetView zoomScale="110" workbookViewId="0"/>
  </sheetViews>
  <sheetFormatPr defaultRowHeight="14.4" x14ac:dyDescent="0.3"/>
  <cols>
    <col min="1" max="2" width="40" customWidth="1"/>
    <col min="3" max="3" width="28" customWidth="1"/>
    <col min="4" max="4" width="14" customWidth="1"/>
    <col min="5" max="5" width="16" customWidth="1"/>
    <col min="6" max="6" width="12" customWidth="1"/>
    <col min="7" max="7" width="46" customWidth="1"/>
  </cols>
  <sheetData>
    <row r="1" spans="1:7" ht="17.399999999999999" x14ac:dyDescent="0.3">
      <c r="A1" s="1" t="s">
        <v>359</v>
      </c>
    </row>
    <row r="3" spans="1:7" ht="31.2" x14ac:dyDescent="0.3">
      <c r="A3" s="5" t="s">
        <v>360</v>
      </c>
      <c r="B3" s="46" t="s">
        <v>361</v>
      </c>
      <c r="C3" s="41"/>
      <c r="D3" s="41"/>
      <c r="E3" s="41"/>
      <c r="F3" s="41"/>
      <c r="G3" s="41"/>
    </row>
    <row r="4" spans="1:7" ht="31.2" x14ac:dyDescent="0.3">
      <c r="A4" s="5" t="s">
        <v>362</v>
      </c>
      <c r="B4" s="46" t="s">
        <v>363</v>
      </c>
      <c r="C4" s="41"/>
      <c r="D4" s="41"/>
      <c r="E4" s="41"/>
      <c r="F4" s="41"/>
      <c r="G4" s="41"/>
    </row>
    <row r="5" spans="1:7" ht="31.2" x14ac:dyDescent="0.3">
      <c r="A5" s="5" t="s">
        <v>364</v>
      </c>
      <c r="B5" s="47">
        <v>1650</v>
      </c>
      <c r="C5" s="41"/>
      <c r="D5" s="41"/>
      <c r="E5" s="41"/>
      <c r="F5" s="41"/>
      <c r="G5" s="41"/>
    </row>
    <row r="7" spans="1:7" ht="48" customHeight="1" x14ac:dyDescent="0.3">
      <c r="A7" s="2" t="s">
        <v>365</v>
      </c>
      <c r="B7" s="2" t="s">
        <v>366</v>
      </c>
      <c r="C7" s="2" t="s">
        <v>367</v>
      </c>
      <c r="D7" s="2" t="s">
        <v>368</v>
      </c>
      <c r="E7" s="2" t="s">
        <v>369</v>
      </c>
      <c r="F7" s="2" t="s">
        <v>370</v>
      </c>
      <c r="G7" s="2" t="s">
        <v>371</v>
      </c>
    </row>
    <row r="8" spans="1:7" ht="15.6" x14ac:dyDescent="0.3">
      <c r="A8" s="5" t="s">
        <v>372</v>
      </c>
      <c r="B8" s="5" t="s">
        <v>373</v>
      </c>
      <c r="C8" s="5" t="s">
        <v>374</v>
      </c>
      <c r="D8" s="10">
        <v>0.24</v>
      </c>
      <c r="E8" s="10">
        <v>0.21</v>
      </c>
      <c r="F8" s="6">
        <v>10</v>
      </c>
      <c r="G8" s="20" t="s">
        <v>375</v>
      </c>
    </row>
    <row r="9" spans="1:7" ht="31.2" x14ac:dyDescent="0.3">
      <c r="A9" s="5" t="s">
        <v>376</v>
      </c>
      <c r="B9" s="5" t="s">
        <v>377</v>
      </c>
      <c r="C9" s="5" t="s">
        <v>378</v>
      </c>
      <c r="D9" s="10">
        <v>1.7</v>
      </c>
      <c r="E9" s="10">
        <v>0.1</v>
      </c>
      <c r="F9" s="6">
        <v>100</v>
      </c>
      <c r="G9" s="20" t="s">
        <v>379</v>
      </c>
    </row>
    <row r="10" spans="1:7" ht="31.2" x14ac:dyDescent="0.3">
      <c r="A10" s="5" t="s">
        <v>380</v>
      </c>
      <c r="B10" s="5" t="s">
        <v>381</v>
      </c>
      <c r="C10" s="5" t="s">
        <v>382</v>
      </c>
      <c r="D10" s="10">
        <v>0.06</v>
      </c>
      <c r="E10" s="12" t="s">
        <v>100</v>
      </c>
      <c r="F10" s="3" t="s">
        <v>100</v>
      </c>
      <c r="G10" s="20" t="s">
        <v>383</v>
      </c>
    </row>
    <row r="11" spans="1:7" ht="26.4" x14ac:dyDescent="0.3">
      <c r="A11" s="5" t="s">
        <v>384</v>
      </c>
      <c r="B11" s="5" t="s">
        <v>385</v>
      </c>
      <c r="C11" s="5" t="s">
        <v>386</v>
      </c>
      <c r="D11" s="10">
        <v>0.27</v>
      </c>
      <c r="E11" s="12" t="s">
        <v>100</v>
      </c>
      <c r="F11" s="3" t="s">
        <v>100</v>
      </c>
      <c r="G11" s="20" t="s">
        <v>387</v>
      </c>
    </row>
    <row r="12" spans="1:7" ht="31.2" x14ac:dyDescent="0.3">
      <c r="A12" s="5" t="s">
        <v>388</v>
      </c>
      <c r="B12" s="5" t="s">
        <v>389</v>
      </c>
      <c r="C12" s="5" t="s">
        <v>390</v>
      </c>
      <c r="D12" s="10">
        <v>0.25</v>
      </c>
      <c r="E12" s="12" t="s">
        <v>100</v>
      </c>
      <c r="F12" s="3" t="s">
        <v>100</v>
      </c>
      <c r="G12" s="20" t="s">
        <v>391</v>
      </c>
    </row>
    <row r="13" spans="1:7" ht="46.8" x14ac:dyDescent="0.3">
      <c r="A13" s="5" t="s">
        <v>392</v>
      </c>
      <c r="B13" s="5" t="s">
        <v>393</v>
      </c>
      <c r="C13" s="5" t="s">
        <v>394</v>
      </c>
      <c r="D13" s="3" t="s">
        <v>395</v>
      </c>
      <c r="E13" s="12" t="s">
        <v>100</v>
      </c>
      <c r="F13" s="3" t="s">
        <v>100</v>
      </c>
      <c r="G13" s="20" t="s">
        <v>396</v>
      </c>
    </row>
    <row r="15" spans="1:7" x14ac:dyDescent="0.3">
      <c r="A15" s="7" t="s">
        <v>397</v>
      </c>
    </row>
  </sheetData>
  <mergeCells count="3">
    <mergeCell ref="B3:G3"/>
    <mergeCell ref="B4:G4"/>
    <mergeCell ref="B5:G5"/>
  </mergeCells>
  <pageMargins left="0.75" right="0.75" top="1" bottom="1" header="0.5" footer="0.5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50"/>
  <sheetViews>
    <sheetView zoomScale="110" workbookViewId="0"/>
  </sheetViews>
  <sheetFormatPr defaultRowHeight="14.4" x14ac:dyDescent="0.3"/>
  <cols>
    <col min="1" max="1" width="34" customWidth="1"/>
    <col min="2" max="2" width="30" customWidth="1"/>
    <col min="3" max="3" width="13" customWidth="1"/>
    <col min="4" max="4" width="3" customWidth="1"/>
    <col min="5" max="5" width="34" customWidth="1"/>
    <col min="6" max="6" width="30" customWidth="1"/>
    <col min="7" max="7" width="13" customWidth="1"/>
  </cols>
  <sheetData>
    <row r="1" spans="1:7" ht="17.399999999999999" x14ac:dyDescent="0.3">
      <c r="A1" s="1" t="s">
        <v>398</v>
      </c>
    </row>
    <row r="2" spans="1:7" x14ac:dyDescent="0.3">
      <c r="A2" s="7" t="s">
        <v>399</v>
      </c>
    </row>
    <row r="4" spans="1:7" ht="15.6" x14ac:dyDescent="0.3">
      <c r="A4" s="40" t="s">
        <v>400</v>
      </c>
      <c r="B4" s="41"/>
      <c r="C4" s="26">
        <f>'Табл. 5 скрепер'!$C$15</f>
        <v>251.43098852515158</v>
      </c>
    </row>
    <row r="5" spans="1:7" ht="15.6" x14ac:dyDescent="0.3">
      <c r="A5" s="40" t="s">
        <v>401</v>
      </c>
      <c r="B5" s="41"/>
      <c r="C5" s="26">
        <f>SUM('Табл. 4 распределение'!C5:L5)</f>
        <v>23875.925259715965</v>
      </c>
    </row>
    <row r="6" spans="1:7" ht="15.6" x14ac:dyDescent="0.3">
      <c r="A6" s="40" t="s">
        <v>402</v>
      </c>
      <c r="B6" s="41"/>
      <c r="C6" s="12">
        <f>C5*'Исходные данные'!$B$7</f>
        <v>27457.314048673357</v>
      </c>
    </row>
    <row r="7" spans="1:7" ht="15.6" x14ac:dyDescent="0.3">
      <c r="A7" s="40" t="s">
        <v>403</v>
      </c>
      <c r="B7" s="41"/>
      <c r="C7" s="26">
        <f>'Табл. 4 распределение'!B19*'Исходные данные'!$B$4</f>
        <v>29210.696689588844</v>
      </c>
    </row>
    <row r="8" spans="1:7" ht="15.6" x14ac:dyDescent="0.3">
      <c r="A8" s="40" t="s">
        <v>404</v>
      </c>
      <c r="B8" s="41"/>
      <c r="C8" s="33">
        <v>2</v>
      </c>
    </row>
    <row r="9" spans="1:7" ht="15.6" x14ac:dyDescent="0.3">
      <c r="A9" s="40" t="s">
        <v>405</v>
      </c>
      <c r="B9" s="41"/>
      <c r="C9" s="33">
        <v>20</v>
      </c>
    </row>
    <row r="10" spans="1:7" ht="15.6" x14ac:dyDescent="0.3">
      <c r="A10" s="40" t="s">
        <v>406</v>
      </c>
      <c r="B10" s="41"/>
      <c r="C10" s="33">
        <v>3</v>
      </c>
    </row>
    <row r="12" spans="1:7" x14ac:dyDescent="0.3">
      <c r="A12" s="42" t="s">
        <v>407</v>
      </c>
      <c r="B12" s="41"/>
      <c r="C12" s="41"/>
      <c r="E12" s="42" t="s">
        <v>408</v>
      </c>
      <c r="F12" s="41"/>
      <c r="G12" s="41"/>
    </row>
    <row r="13" spans="1:7" ht="15.6" x14ac:dyDescent="0.3">
      <c r="A13" s="18" t="s">
        <v>409</v>
      </c>
      <c r="B13" s="49" t="s">
        <v>373</v>
      </c>
      <c r="C13" s="41"/>
      <c r="E13" s="18" t="s">
        <v>410</v>
      </c>
      <c r="F13" s="49" t="s">
        <v>377</v>
      </c>
      <c r="G13" s="41"/>
    </row>
    <row r="14" spans="1:7" ht="26.4" x14ac:dyDescent="0.3">
      <c r="A14" s="5" t="s">
        <v>126</v>
      </c>
      <c r="B14" s="34" t="s">
        <v>411</v>
      </c>
      <c r="C14" s="12">
        <f>$C$6</f>
        <v>27457.314048673357</v>
      </c>
      <c r="E14" s="5" t="s">
        <v>126</v>
      </c>
      <c r="F14" s="24"/>
      <c r="G14" s="12">
        <f>$C$6</f>
        <v>27457.314048673357</v>
      </c>
    </row>
    <row r="15" spans="1:7" ht="15.6" x14ac:dyDescent="0.3">
      <c r="A15" s="5" t="s">
        <v>412</v>
      </c>
      <c r="B15" s="24"/>
      <c r="C15" s="14">
        <f>'2.3 Грунт и нормы ЕНиР'!$D$8+'2.3 Грунт и нормы ЕНиР'!$E$8*($C$4-'2.3 Грунт и нормы ЕНиР'!$F$8)/10</f>
        <v>5.3100507590281829</v>
      </c>
      <c r="E15" s="5" t="s">
        <v>412</v>
      </c>
      <c r="F15" s="24"/>
      <c r="G15" s="14">
        <f>'2.3 Грунт и нормы ЕНиР'!$D$9+'2.3 Грунт и нормы ЕНиР'!$E$9*($C$4-'2.3 Грунт и нормы ЕНиР'!$F$9)/10</f>
        <v>3.2143098852515157</v>
      </c>
    </row>
    <row r="16" spans="1:7" ht="15.6" x14ac:dyDescent="0.3">
      <c r="A16" s="5" t="s">
        <v>413</v>
      </c>
      <c r="B16" s="24"/>
      <c r="C16" s="12">
        <f>C15*C14/800</f>
        <v>182.24966413129144</v>
      </c>
      <c r="E16" s="5" t="s">
        <v>413</v>
      </c>
      <c r="F16" s="24"/>
      <c r="G16" s="12">
        <f>G15*G14/800</f>
        <v>110.3203949613826</v>
      </c>
    </row>
    <row r="17" spans="1:7" ht="15.6" x14ac:dyDescent="0.3">
      <c r="A17" s="5" t="s">
        <v>414</v>
      </c>
      <c r="B17" s="24"/>
      <c r="C17" s="12">
        <f>100*$C$8*8/C15</f>
        <v>301.3153871042889</v>
      </c>
      <c r="E17" s="5" t="s">
        <v>414</v>
      </c>
      <c r="F17" s="24"/>
      <c r="G17" s="12">
        <f>100*$C$8*8/G15</f>
        <v>497.77403458870361</v>
      </c>
    </row>
    <row r="18" spans="1:7" ht="15.6" x14ac:dyDescent="0.3">
      <c r="A18" s="5" t="s">
        <v>415</v>
      </c>
      <c r="B18" s="24">
        <f>C16/($C$8*$C$9)</f>
        <v>4.5562416032822863</v>
      </c>
      <c r="C18" s="35">
        <f>ROUNDUP(ROUND(B18,6),0)</f>
        <v>5</v>
      </c>
      <c r="E18" s="5" t="s">
        <v>415</v>
      </c>
      <c r="F18" s="24">
        <f>G16/($C$8*$C$9)</f>
        <v>2.7580098740345651</v>
      </c>
      <c r="G18" s="35">
        <f>ROUNDUP(ROUND(F18,6),0)</f>
        <v>3</v>
      </c>
    </row>
    <row r="19" spans="1:7" x14ac:dyDescent="0.3">
      <c r="A19" s="48" t="s">
        <v>416</v>
      </c>
      <c r="B19" s="41"/>
      <c r="C19" s="41"/>
      <c r="E19" s="48" t="s">
        <v>416</v>
      </c>
      <c r="F19" s="41"/>
      <c r="G19" s="41"/>
    </row>
    <row r="20" spans="1:7" ht="15.6" x14ac:dyDescent="0.3">
      <c r="A20" s="18" t="s">
        <v>380</v>
      </c>
      <c r="B20" s="49" t="s">
        <v>381</v>
      </c>
      <c r="C20" s="41"/>
      <c r="E20" s="18" t="s">
        <v>380</v>
      </c>
      <c r="F20" s="49" t="s">
        <v>381</v>
      </c>
      <c r="G20" s="41"/>
    </row>
    <row r="21" spans="1:7" ht="15.6" x14ac:dyDescent="0.3">
      <c r="A21" s="5" t="s">
        <v>126</v>
      </c>
      <c r="B21" s="34" t="s">
        <v>417</v>
      </c>
      <c r="C21" s="12">
        <f>$C$5</f>
        <v>23875.925259715965</v>
      </c>
      <c r="E21" s="5" t="s">
        <v>126</v>
      </c>
      <c r="F21" s="24"/>
      <c r="G21" s="12">
        <f>$C$5</f>
        <v>23875.925259715965</v>
      </c>
    </row>
    <row r="22" spans="1:7" ht="15.6" x14ac:dyDescent="0.3">
      <c r="A22" s="5" t="s">
        <v>418</v>
      </c>
      <c r="B22" s="24"/>
      <c r="C22" s="14">
        <f>'2.3 Грунт и нормы ЕНиР'!$D$10</f>
        <v>0.06</v>
      </c>
      <c r="E22" s="5" t="s">
        <v>418</v>
      </c>
      <c r="F22" s="24"/>
      <c r="G22" s="14">
        <f>'2.3 Грунт и нормы ЕНиР'!$D$10</f>
        <v>0.06</v>
      </c>
    </row>
    <row r="23" spans="1:7" ht="15.6" x14ac:dyDescent="0.3">
      <c r="A23" s="5" t="s">
        <v>419</v>
      </c>
      <c r="B23" s="24"/>
      <c r="C23" s="12">
        <f>C22*C21/800</f>
        <v>1.7906943944786975</v>
      </c>
      <c r="E23" s="5" t="s">
        <v>419</v>
      </c>
      <c r="F23" s="24"/>
      <c r="G23" s="12">
        <f>G22*G21/800</f>
        <v>1.7906943944786975</v>
      </c>
    </row>
    <row r="24" spans="1:7" ht="15.6" x14ac:dyDescent="0.3">
      <c r="A24" s="5" t="s">
        <v>420</v>
      </c>
      <c r="B24" s="24"/>
      <c r="C24" s="12">
        <f>100*$C$8*8/C22</f>
        <v>26666.666666666668</v>
      </c>
      <c r="E24" s="5" t="s">
        <v>420</v>
      </c>
      <c r="F24" s="24"/>
      <c r="G24" s="12">
        <f>100*$C$8*8/G22</f>
        <v>26666.666666666668</v>
      </c>
    </row>
    <row r="25" spans="1:7" ht="15.6" x14ac:dyDescent="0.3">
      <c r="A25" s="5" t="s">
        <v>415</v>
      </c>
      <c r="B25" s="24">
        <f>C18*C17/C24</f>
        <v>5.6496635082054165E-2</v>
      </c>
      <c r="C25" s="35">
        <f>ROUNDUP(ROUND(B25,6),0)</f>
        <v>1</v>
      </c>
      <c r="E25" s="5" t="s">
        <v>415</v>
      </c>
      <c r="F25" s="24">
        <f>G18*G17/G24</f>
        <v>5.5999578891229154E-2</v>
      </c>
      <c r="G25" s="35">
        <f>ROUNDUP(ROUND(F25,6),0)</f>
        <v>1</v>
      </c>
    </row>
    <row r="26" spans="1:7" ht="15.6" x14ac:dyDescent="0.3">
      <c r="A26" s="18" t="s">
        <v>388</v>
      </c>
      <c r="B26" s="49" t="s">
        <v>389</v>
      </c>
      <c r="C26" s="41"/>
      <c r="E26" s="18" t="s">
        <v>421</v>
      </c>
      <c r="F26" s="49" t="s">
        <v>385</v>
      </c>
      <c r="G26" s="41"/>
    </row>
    <row r="27" spans="1:7" ht="15.6" x14ac:dyDescent="0.3">
      <c r="A27" s="5" t="s">
        <v>126</v>
      </c>
      <c r="B27" s="24"/>
      <c r="C27" s="12">
        <f>$C$7</f>
        <v>29210.696689588844</v>
      </c>
      <c r="E27" s="5" t="s">
        <v>126</v>
      </c>
      <c r="F27" s="24"/>
      <c r="G27" s="12">
        <f>$C$7</f>
        <v>29210.696689588844</v>
      </c>
    </row>
    <row r="28" spans="1:7" ht="15.6" x14ac:dyDescent="0.3">
      <c r="A28" s="5" t="s">
        <v>418</v>
      </c>
      <c r="B28" s="24"/>
      <c r="C28" s="14">
        <f>'2.3 Грунт и нормы ЕНиР'!$D$12</f>
        <v>0.25</v>
      </c>
      <c r="E28" s="5" t="s">
        <v>418</v>
      </c>
      <c r="F28" s="24"/>
      <c r="G28" s="14">
        <f>'2.3 Грунт и нормы ЕНиР'!$D$11</f>
        <v>0.27</v>
      </c>
    </row>
    <row r="29" spans="1:7" ht="15.6" x14ac:dyDescent="0.3">
      <c r="A29" s="5" t="s">
        <v>419</v>
      </c>
      <c r="B29" s="24"/>
      <c r="C29" s="12">
        <f>C28*C27/800</f>
        <v>9.1283427154965135</v>
      </c>
      <c r="E29" s="5" t="s">
        <v>419</v>
      </c>
      <c r="F29" s="24"/>
      <c r="G29" s="12">
        <f>G28*G27/800</f>
        <v>9.858610132736235</v>
      </c>
    </row>
    <row r="30" spans="1:7" ht="15.6" x14ac:dyDescent="0.3">
      <c r="A30" s="5" t="s">
        <v>420</v>
      </c>
      <c r="B30" s="24"/>
      <c r="C30" s="12">
        <f>100*$C$8*8/C28</f>
        <v>6400</v>
      </c>
      <c r="E30" s="5" t="s">
        <v>420</v>
      </c>
      <c r="F30" s="24"/>
      <c r="G30" s="12">
        <f>100*$C$8*8/G28</f>
        <v>5925.9259259259252</v>
      </c>
    </row>
    <row r="31" spans="1:7" ht="15.6" x14ac:dyDescent="0.3">
      <c r="A31" s="5" t="s">
        <v>415</v>
      </c>
      <c r="B31" s="24">
        <f>C18*C17/C30</f>
        <v>0.23540264617522572</v>
      </c>
      <c r="C31" s="35">
        <f>ROUNDUP(ROUND(B31,6),0)</f>
        <v>1</v>
      </c>
      <c r="E31" s="5" t="s">
        <v>415</v>
      </c>
      <c r="F31" s="24">
        <f>G18*G17/G30</f>
        <v>0.25199810501053121</v>
      </c>
      <c r="G31" s="35">
        <f>ROUNDUP(ROUND(F31,6),0)</f>
        <v>1</v>
      </c>
    </row>
    <row r="32" spans="1:7" ht="15.6" x14ac:dyDescent="0.3">
      <c r="E32" s="18" t="s">
        <v>388</v>
      </c>
      <c r="F32" s="49" t="s">
        <v>389</v>
      </c>
      <c r="G32" s="41"/>
    </row>
    <row r="33" spans="1:7" ht="15.6" x14ac:dyDescent="0.3">
      <c r="E33" s="5" t="s">
        <v>126</v>
      </c>
      <c r="F33" s="24"/>
      <c r="G33" s="12">
        <f>$C$7</f>
        <v>29210.696689588844</v>
      </c>
    </row>
    <row r="34" spans="1:7" ht="15.6" x14ac:dyDescent="0.3">
      <c r="E34" s="5" t="s">
        <v>418</v>
      </c>
      <c r="F34" s="24"/>
      <c r="G34" s="14">
        <f>'2.3 Грунт и нормы ЕНиР'!$D$12</f>
        <v>0.25</v>
      </c>
    </row>
    <row r="35" spans="1:7" ht="15.6" x14ac:dyDescent="0.3">
      <c r="E35" s="5" t="s">
        <v>419</v>
      </c>
      <c r="F35" s="24"/>
      <c r="G35" s="12">
        <f>G34*G33/800</f>
        <v>9.1283427154965135</v>
      </c>
    </row>
    <row r="36" spans="1:7" ht="15.6" x14ac:dyDescent="0.3">
      <c r="E36" s="5" t="s">
        <v>420</v>
      </c>
      <c r="F36" s="24"/>
      <c r="G36" s="12">
        <f>100*$C$8*8/G34</f>
        <v>6400</v>
      </c>
    </row>
    <row r="37" spans="1:7" ht="15.6" x14ac:dyDescent="0.3">
      <c r="E37" s="5" t="s">
        <v>415</v>
      </c>
      <c r="F37" s="24">
        <f>G18*G17/G36</f>
        <v>0.23333157871345481</v>
      </c>
      <c r="G37" s="35">
        <f>ROUNDUP(ROUND(F37,6),0)</f>
        <v>1</v>
      </c>
    </row>
    <row r="38" spans="1:7" ht="15.6" x14ac:dyDescent="0.3">
      <c r="E38" s="18" t="s">
        <v>392</v>
      </c>
      <c r="F38" s="49" t="s">
        <v>393</v>
      </c>
      <c r="G38" s="41"/>
    </row>
    <row r="39" spans="1:7" ht="15.6" x14ac:dyDescent="0.3">
      <c r="E39" s="5" t="s">
        <v>126</v>
      </c>
      <c r="F39" s="24"/>
      <c r="G39" s="12">
        <f>$C$6</f>
        <v>27457.314048673357</v>
      </c>
    </row>
    <row r="40" spans="1:7" ht="15.6" x14ac:dyDescent="0.3">
      <c r="E40" s="5" t="s">
        <v>418</v>
      </c>
      <c r="F40" s="24"/>
      <c r="G40" s="16">
        <f>G15/$C$10</f>
        <v>1.0714366284171719</v>
      </c>
    </row>
    <row r="41" spans="1:7" ht="15.6" x14ac:dyDescent="0.3">
      <c r="E41" s="5" t="s">
        <v>419</v>
      </c>
      <c r="F41" s="24"/>
      <c r="G41" s="12">
        <f>G40*G39/800</f>
        <v>36.773464987127539</v>
      </c>
    </row>
    <row r="42" spans="1:7" ht="15.6" x14ac:dyDescent="0.3">
      <c r="E42" s="5" t="s">
        <v>420</v>
      </c>
      <c r="F42" s="24"/>
      <c r="G42" s="12">
        <f>100*$C$8*8/G40</f>
        <v>1493.322103766111</v>
      </c>
    </row>
    <row r="43" spans="1:7" ht="15.6" x14ac:dyDescent="0.3">
      <c r="E43" s="5" t="s">
        <v>415</v>
      </c>
      <c r="F43" s="24">
        <f>G18*G17/G42</f>
        <v>0.99999999999999989</v>
      </c>
      <c r="G43" s="35">
        <f>ROUNDUP(ROUND(F43,6),0)</f>
        <v>1</v>
      </c>
    </row>
    <row r="45" spans="1:7" ht="15.6" x14ac:dyDescent="0.3">
      <c r="A45" s="48" t="s">
        <v>422</v>
      </c>
      <c r="B45" s="41"/>
      <c r="C45" s="17">
        <f>C16+C23+C29</f>
        <v>193.16870124126663</v>
      </c>
      <c r="E45" s="48" t="s">
        <v>422</v>
      </c>
      <c r="F45" s="41"/>
      <c r="G45" s="17">
        <f>G16+G23+G29+G35+G41</f>
        <v>167.87150719122158</v>
      </c>
    </row>
    <row r="46" spans="1:7" ht="15.6" x14ac:dyDescent="0.3">
      <c r="A46" s="48" t="s">
        <v>423</v>
      </c>
      <c r="B46" s="41"/>
      <c r="C46" s="17">
        <f>C14/C45</f>
        <v>142.14162994438382</v>
      </c>
      <c r="E46" s="48" t="s">
        <v>423</v>
      </c>
      <c r="F46" s="41"/>
      <c r="G46" s="17">
        <f>G14/G45</f>
        <v>163.56149121480675</v>
      </c>
    </row>
    <row r="47" spans="1:7" ht="15.6" x14ac:dyDescent="0.3">
      <c r="A47" s="48" t="s">
        <v>424</v>
      </c>
      <c r="B47" s="41"/>
      <c r="C47" s="36">
        <f>C45/C14</f>
        <v>7.0352366185140337E-3</v>
      </c>
      <c r="E47" s="48" t="s">
        <v>424</v>
      </c>
      <c r="F47" s="41"/>
      <c r="G47" s="36">
        <f>G45/G14</f>
        <v>6.1139085525130799E-3</v>
      </c>
    </row>
    <row r="48" spans="1:7" ht="15.6" x14ac:dyDescent="0.3">
      <c r="A48" s="40" t="s">
        <v>425</v>
      </c>
      <c r="B48" s="41"/>
      <c r="C48" s="23">
        <f>C16/(C18*$C$8)</f>
        <v>18.224966413129145</v>
      </c>
      <c r="E48" s="40" t="s">
        <v>425</v>
      </c>
      <c r="F48" s="41"/>
      <c r="G48" s="23">
        <f>G16/(G18*$C$8)</f>
        <v>18.386732493563766</v>
      </c>
    </row>
    <row r="50" spans="1:7" x14ac:dyDescent="0.3">
      <c r="A50" s="48" t="str">
        <f>IF(C47&lt;G47,"Принимается вариант 1 - ведущая машина бульдозер: меньше маш.-см на 1 м³","Принимается вариант 2 - ведущая машина скрепер: меньше маш.-см на 1 м³")</f>
        <v>Принимается вариант 2 - ведущая машина скрепер: меньше маш.-см на 1 м³</v>
      </c>
      <c r="B50" s="41"/>
      <c r="C50" s="41"/>
      <c r="D50" s="41"/>
      <c r="E50" s="41"/>
      <c r="F50" s="41"/>
      <c r="G50" s="41"/>
    </row>
  </sheetData>
  <mergeCells count="28">
    <mergeCell ref="A4:B4"/>
    <mergeCell ref="B20:C20"/>
    <mergeCell ref="A10:B10"/>
    <mergeCell ref="A50:G50"/>
    <mergeCell ref="B26:C26"/>
    <mergeCell ref="A9:B9"/>
    <mergeCell ref="E47:F47"/>
    <mergeCell ref="A5:B5"/>
    <mergeCell ref="E45:F45"/>
    <mergeCell ref="E12:G12"/>
    <mergeCell ref="F13:G13"/>
    <mergeCell ref="A8:B8"/>
    <mergeCell ref="A6:B6"/>
    <mergeCell ref="A7:B7"/>
    <mergeCell ref="F20:G20"/>
    <mergeCell ref="A46:B46"/>
    <mergeCell ref="F32:G32"/>
    <mergeCell ref="F26:G26"/>
    <mergeCell ref="B13:C13"/>
    <mergeCell ref="A19:C19"/>
    <mergeCell ref="F38:G38"/>
    <mergeCell ref="E46:F46"/>
    <mergeCell ref="A48:B48"/>
    <mergeCell ref="E19:G19"/>
    <mergeCell ref="A45:B45"/>
    <mergeCell ref="A12:C12"/>
    <mergeCell ref="E48:F48"/>
    <mergeCell ref="A47:B47"/>
  </mergeCells>
  <pageMargins left="0.75" right="0.75" top="1" bottom="1" header="0.5" footer="0.5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56"/>
  <sheetViews>
    <sheetView zoomScale="110" workbookViewId="0"/>
  </sheetViews>
  <sheetFormatPr defaultRowHeight="14.4" x14ac:dyDescent="0.3"/>
  <cols>
    <col min="1" max="1" width="42" customWidth="1"/>
    <col min="2" max="2" width="22" customWidth="1"/>
    <col min="3" max="3" width="14" customWidth="1"/>
    <col min="4" max="4" width="26" customWidth="1"/>
    <col min="5" max="5" width="13" customWidth="1"/>
    <col min="6" max="20" width="11" customWidth="1"/>
  </cols>
  <sheetData>
    <row r="1" spans="1:10" ht="17.399999999999999" x14ac:dyDescent="0.3">
      <c r="A1" s="1" t="s">
        <v>426</v>
      </c>
    </row>
    <row r="3" spans="1:10" ht="15.6" x14ac:dyDescent="0.3">
      <c r="A3" s="40" t="s">
        <v>427</v>
      </c>
      <c r="B3" s="41"/>
      <c r="C3" s="26">
        <f>'Котлован (оконч.)'!$C$60</f>
        <v>3971.7374877451716</v>
      </c>
    </row>
    <row r="4" spans="1:10" ht="15.6" x14ac:dyDescent="0.3">
      <c r="A4" s="40" t="s">
        <v>428</v>
      </c>
      <c r="B4" s="41"/>
      <c r="C4" s="14">
        <f>'Котлован (оконч.)'!$C$39</f>
        <v>2.0917999999999997</v>
      </c>
    </row>
    <row r="5" spans="1:10" ht="15.6" x14ac:dyDescent="0.3">
      <c r="A5" s="40" t="s">
        <v>429</v>
      </c>
      <c r="B5" s="41"/>
      <c r="C5" s="37">
        <f>'Табл. 7 варианты'!$C$8</f>
        <v>2</v>
      </c>
    </row>
    <row r="7" spans="1:10" ht="64.05" customHeight="1" x14ac:dyDescent="0.3">
      <c r="A7" s="2" t="s">
        <v>430</v>
      </c>
      <c r="B7" s="2" t="s">
        <v>431</v>
      </c>
      <c r="C7" s="2" t="s">
        <v>432</v>
      </c>
      <c r="D7" s="2" t="s">
        <v>367</v>
      </c>
      <c r="E7" s="2" t="s">
        <v>433</v>
      </c>
      <c r="F7" s="2" t="s">
        <v>434</v>
      </c>
      <c r="G7" s="2" t="s">
        <v>435</v>
      </c>
      <c r="H7" s="2" t="s">
        <v>436</v>
      </c>
      <c r="I7" s="2" t="s">
        <v>437</v>
      </c>
      <c r="J7" s="2" t="s">
        <v>438</v>
      </c>
    </row>
    <row r="8" spans="1:10" ht="15.6" x14ac:dyDescent="0.3">
      <c r="A8" s="32" t="s">
        <v>439</v>
      </c>
      <c r="B8" s="32" t="s">
        <v>440</v>
      </c>
      <c r="C8" s="10">
        <v>0.5</v>
      </c>
      <c r="D8" s="32" t="s">
        <v>441</v>
      </c>
      <c r="E8" s="21">
        <v>2.9</v>
      </c>
      <c r="F8" s="12">
        <f>100*8/E8</f>
        <v>275.86206896551727</v>
      </c>
      <c r="G8" s="21">
        <v>4</v>
      </c>
      <c r="H8" s="21">
        <v>9.1999999999999993</v>
      </c>
      <c r="I8" s="21">
        <v>1.7</v>
      </c>
      <c r="J8" s="22">
        <v>15</v>
      </c>
    </row>
    <row r="9" spans="1:10" ht="15.6" x14ac:dyDescent="0.3">
      <c r="A9" s="32" t="s">
        <v>442</v>
      </c>
      <c r="B9" s="32" t="s">
        <v>440</v>
      </c>
      <c r="C9" s="10">
        <v>0.65</v>
      </c>
      <c r="D9" s="32" t="s">
        <v>443</v>
      </c>
      <c r="E9" s="21">
        <v>2.2999999999999998</v>
      </c>
      <c r="F9" s="12">
        <f>100*8/E9</f>
        <v>347.82608695652175</v>
      </c>
      <c r="G9" s="21">
        <v>4</v>
      </c>
      <c r="H9" s="21">
        <v>9.1999999999999993</v>
      </c>
      <c r="I9" s="21">
        <v>2.2999999999999998</v>
      </c>
      <c r="J9" s="22">
        <v>15</v>
      </c>
    </row>
    <row r="10" spans="1:10" ht="15.6" x14ac:dyDescent="0.3">
      <c r="A10" s="32" t="s">
        <v>444</v>
      </c>
      <c r="B10" s="32" t="s">
        <v>445</v>
      </c>
      <c r="C10" s="10">
        <v>0.65</v>
      </c>
      <c r="D10" s="32" t="s">
        <v>446</v>
      </c>
      <c r="E10" s="21">
        <v>2.1</v>
      </c>
      <c r="F10" s="12">
        <f>100*8/E10</f>
        <v>380.95238095238096</v>
      </c>
      <c r="G10" s="21">
        <v>5.8</v>
      </c>
      <c r="H10" s="21">
        <v>9</v>
      </c>
      <c r="I10" s="21">
        <v>5</v>
      </c>
      <c r="J10" s="22">
        <v>10</v>
      </c>
    </row>
    <row r="11" spans="1:10" ht="93.6" x14ac:dyDescent="0.3">
      <c r="E11" s="38" t="s">
        <v>447</v>
      </c>
    </row>
    <row r="12" spans="1:10" ht="31.2" x14ac:dyDescent="0.3">
      <c r="A12" s="48" t="s">
        <v>448</v>
      </c>
      <c r="B12" s="41"/>
      <c r="C12" s="15" t="str">
        <f>INDEX($A$8:$A$10,MATCH(MAX($F$8:$F$10),$F$8:$F$10,0))</f>
        <v>ЭО-4121А</v>
      </c>
      <c r="E12" s="2" t="s">
        <v>449</v>
      </c>
      <c r="F12" s="2" t="s">
        <v>450</v>
      </c>
      <c r="G12" s="2" t="s">
        <v>451</v>
      </c>
      <c r="H12" s="2" t="s">
        <v>452</v>
      </c>
    </row>
    <row r="13" spans="1:10" ht="15.6" x14ac:dyDescent="0.3">
      <c r="A13" s="40" t="s">
        <v>432</v>
      </c>
      <c r="B13" s="41"/>
      <c r="C13" s="12">
        <f>INDEX($C$8:$C$10,MATCH(MAX($F$8:$F$10),$F$8:$F$10,0))</f>
        <v>0.65</v>
      </c>
      <c r="E13" s="3" t="s">
        <v>453</v>
      </c>
      <c r="F13" s="22">
        <v>0</v>
      </c>
      <c r="G13" s="22">
        <v>500</v>
      </c>
      <c r="H13" s="3" t="str">
        <f t="shared" ref="H13:H20" si="0">IF(AND($C$3&gt;=F13,$C$3&lt;=IF(ISNUMBER(G13),G13,1E+99)),"да","")</f>
        <v/>
      </c>
    </row>
    <row r="14" spans="1:10" ht="15.6" x14ac:dyDescent="0.3">
      <c r="A14" s="40" t="s">
        <v>368</v>
      </c>
      <c r="B14" s="41"/>
      <c r="C14" s="23">
        <f>INDEX($E$8:$E$10,MATCH(MAX($F$8:$F$10),$F$8:$F$10,0))</f>
        <v>2.1</v>
      </c>
      <c r="E14" s="3" t="s">
        <v>454</v>
      </c>
      <c r="F14" s="22">
        <v>500</v>
      </c>
      <c r="G14" s="22">
        <v>1500</v>
      </c>
      <c r="H14" s="3" t="str">
        <f t="shared" si="0"/>
        <v/>
      </c>
    </row>
    <row r="15" spans="1:10" ht="15.6" x14ac:dyDescent="0.3">
      <c r="A15" s="40" t="s">
        <v>455</v>
      </c>
      <c r="B15" s="41"/>
      <c r="C15" s="12">
        <f>INDEX($J$8:$J$10,MATCH(MAX($F$8:$F$10),$F$8:$F$10,0))/100</f>
        <v>0.1</v>
      </c>
      <c r="E15" s="3" t="s">
        <v>456</v>
      </c>
      <c r="F15" s="22">
        <v>1500</v>
      </c>
      <c r="G15" s="22">
        <v>5000</v>
      </c>
      <c r="H15" s="3" t="str">
        <f t="shared" si="0"/>
        <v>да</v>
      </c>
    </row>
    <row r="16" spans="1:10" ht="15.6" x14ac:dyDescent="0.3">
      <c r="A16" s="40" t="s">
        <v>457</v>
      </c>
      <c r="B16" s="41"/>
      <c r="C16" s="16">
        <f>C4-C15</f>
        <v>1.9917999999999996</v>
      </c>
      <c r="E16" s="3" t="s">
        <v>458</v>
      </c>
      <c r="F16" s="22">
        <v>2000</v>
      </c>
      <c r="G16" s="22">
        <v>8000</v>
      </c>
      <c r="H16" s="3" t="str">
        <f t="shared" si="0"/>
        <v>да</v>
      </c>
    </row>
    <row r="17" spans="1:8" ht="15.6" x14ac:dyDescent="0.3">
      <c r="A17" s="40" t="s">
        <v>459</v>
      </c>
      <c r="B17" s="41"/>
      <c r="C17" s="3" t="str">
        <f>IF(INDEX($G$8:$G$10,MATCH(MAX($F$8:$F$10),$F$8:$F$10,0))&gt;=C16,"выполняется","НЕТ")</f>
        <v>выполняется</v>
      </c>
      <c r="E17" s="3" t="s">
        <v>460</v>
      </c>
      <c r="F17" s="22">
        <v>6000</v>
      </c>
      <c r="G17" s="22">
        <v>11000</v>
      </c>
      <c r="H17" s="3" t="str">
        <f t="shared" si="0"/>
        <v/>
      </c>
    </row>
    <row r="18" spans="1:8" ht="15.6" x14ac:dyDescent="0.3">
      <c r="A18" s="40" t="s">
        <v>461</v>
      </c>
      <c r="B18" s="41"/>
      <c r="C18" s="12">
        <f>C14*C3/800</f>
        <v>10.425810905331074</v>
      </c>
      <c r="E18" s="3" t="s">
        <v>96</v>
      </c>
      <c r="F18" s="22">
        <v>11000</v>
      </c>
      <c r="G18" s="22">
        <v>15000</v>
      </c>
      <c r="H18" s="3" t="str">
        <f t="shared" si="0"/>
        <v/>
      </c>
    </row>
    <row r="19" spans="1:8" ht="15.6" x14ac:dyDescent="0.3">
      <c r="A19" s="40" t="s">
        <v>462</v>
      </c>
      <c r="B19" s="41"/>
      <c r="C19" s="23">
        <f>C18/C5</f>
        <v>5.2129054526655372</v>
      </c>
      <c r="E19" s="3" t="s">
        <v>463</v>
      </c>
      <c r="F19" s="22">
        <v>13000</v>
      </c>
      <c r="G19" s="22">
        <v>18000</v>
      </c>
      <c r="H19" s="3" t="str">
        <f t="shared" si="0"/>
        <v/>
      </c>
    </row>
    <row r="20" spans="1:8" ht="15.6" x14ac:dyDescent="0.3">
      <c r="E20" s="3" t="s">
        <v>464</v>
      </c>
      <c r="F20" s="22">
        <v>17000</v>
      </c>
      <c r="G20" s="22" t="s">
        <v>100</v>
      </c>
      <c r="H20" s="3" t="str">
        <f t="shared" si="0"/>
        <v/>
      </c>
    </row>
    <row r="21" spans="1:8" ht="15.6" x14ac:dyDescent="0.3">
      <c r="A21" s="38" t="s">
        <v>465</v>
      </c>
    </row>
    <row r="22" spans="1:8" ht="15.6" x14ac:dyDescent="0.3">
      <c r="A22" s="40" t="s">
        <v>466</v>
      </c>
      <c r="B22" s="41"/>
      <c r="C22" s="8">
        <v>0.9</v>
      </c>
    </row>
    <row r="23" spans="1:8" ht="15.6" x14ac:dyDescent="0.3">
      <c r="A23" s="40" t="s">
        <v>47</v>
      </c>
      <c r="B23" s="41"/>
      <c r="C23" s="26">
        <f>'Исходные данные'!$B$7</f>
        <v>1.1499999999999999</v>
      </c>
    </row>
    <row r="24" spans="1:8" ht="15.6" x14ac:dyDescent="0.3">
      <c r="A24" s="40" t="s">
        <v>467</v>
      </c>
      <c r="B24" s="41"/>
      <c r="C24" s="39">
        <f>'2.3 Грунт и нормы ЕНиР'!$B$5/1000</f>
        <v>1.65</v>
      </c>
    </row>
    <row r="25" spans="1:8" ht="15.6" x14ac:dyDescent="0.3">
      <c r="A25" s="40" t="s">
        <v>468</v>
      </c>
      <c r="B25" s="41"/>
      <c r="C25" s="16">
        <f>C13*C22/C23</f>
        <v>0.5086956521739131</v>
      </c>
    </row>
    <row r="26" spans="1:8" ht="15.6" x14ac:dyDescent="0.3">
      <c r="A26" s="40" t="s">
        <v>469</v>
      </c>
      <c r="B26" s="41"/>
      <c r="C26" s="16">
        <f>C25*C24</f>
        <v>0.83934782608695657</v>
      </c>
    </row>
    <row r="27" spans="1:8" ht="15.6" x14ac:dyDescent="0.3">
      <c r="A27" s="40" t="s">
        <v>470</v>
      </c>
      <c r="B27" s="41"/>
      <c r="C27" s="21">
        <v>10</v>
      </c>
    </row>
    <row r="28" spans="1:8" ht="15.6" x14ac:dyDescent="0.3">
      <c r="A28" s="40" t="s">
        <v>471</v>
      </c>
      <c r="B28" s="41"/>
      <c r="C28" s="21">
        <v>0.3</v>
      </c>
    </row>
    <row r="29" spans="1:8" ht="15.6" x14ac:dyDescent="0.3">
      <c r="A29" s="40" t="s">
        <v>472</v>
      </c>
      <c r="B29" s="41"/>
      <c r="C29" s="21">
        <v>0.6</v>
      </c>
    </row>
    <row r="30" spans="1:8" ht="15.6" x14ac:dyDescent="0.3">
      <c r="A30" s="40" t="s">
        <v>473</v>
      </c>
      <c r="B30" s="41"/>
      <c r="C30" s="21">
        <v>1</v>
      </c>
    </row>
    <row r="31" spans="1:8" ht="15.6" x14ac:dyDescent="0.3">
      <c r="A31" s="40" t="s">
        <v>474</v>
      </c>
      <c r="B31" s="41"/>
      <c r="C31" s="21">
        <v>2</v>
      </c>
    </row>
    <row r="33" spans="1:20" ht="61.95" customHeight="1" x14ac:dyDescent="0.3">
      <c r="A33" s="2" t="s">
        <v>475</v>
      </c>
      <c r="B33" s="2" t="s">
        <v>476</v>
      </c>
      <c r="C33" s="2" t="s">
        <v>477</v>
      </c>
      <c r="D33" s="2" t="s">
        <v>478</v>
      </c>
      <c r="E33" s="2" t="s">
        <v>479</v>
      </c>
      <c r="F33" s="2" t="s">
        <v>480</v>
      </c>
      <c r="G33" s="2" t="s">
        <v>481</v>
      </c>
      <c r="H33" s="2" t="s">
        <v>482</v>
      </c>
      <c r="I33" s="2" t="s">
        <v>483</v>
      </c>
      <c r="J33" s="2" t="s">
        <v>484</v>
      </c>
      <c r="K33" s="2" t="s">
        <v>485</v>
      </c>
      <c r="L33" s="2" t="s">
        <v>486</v>
      </c>
      <c r="M33" s="2" t="s">
        <v>487</v>
      </c>
      <c r="N33" s="2" t="s">
        <v>488</v>
      </c>
      <c r="O33" s="2" t="s">
        <v>489</v>
      </c>
      <c r="P33" s="2" t="s">
        <v>490</v>
      </c>
      <c r="Q33" s="2" t="s">
        <v>491</v>
      </c>
      <c r="R33" s="2" t="s">
        <v>492</v>
      </c>
      <c r="S33" s="2" t="s">
        <v>493</v>
      </c>
      <c r="T33" s="2" t="s">
        <v>494</v>
      </c>
    </row>
    <row r="34" spans="1:20" ht="15.6" x14ac:dyDescent="0.3">
      <c r="A34" s="32" t="s">
        <v>495</v>
      </c>
      <c r="B34" s="21">
        <v>4.5</v>
      </c>
      <c r="C34" s="10">
        <v>4.0999999999999996</v>
      </c>
      <c r="D34" s="10">
        <v>2.48</v>
      </c>
      <c r="E34" s="22">
        <v>45</v>
      </c>
      <c r="F34" s="22">
        <v>60</v>
      </c>
      <c r="G34" s="12">
        <f t="shared" ref="G34:G51" si="1">C34/$C$26</f>
        <v>4.884744884744884</v>
      </c>
      <c r="H34" s="12">
        <f t="shared" ref="H34:H51" si="2">B34/$C$13</f>
        <v>6.9230769230769225</v>
      </c>
      <c r="I34" s="35">
        <f t="shared" ref="I34:I51" si="3">INT(ROUND(MIN(G34,H34),6))</f>
        <v>4</v>
      </c>
      <c r="J34" s="3" t="str">
        <f t="shared" ref="J34:J51" si="4">IF(AND(I34&gt;=6,I34&lt;=11),"да","нет")</f>
        <v>нет</v>
      </c>
      <c r="K34" s="24">
        <f t="shared" ref="K34:K51" si="5">I34*$C$25</f>
        <v>2.0347826086956524</v>
      </c>
      <c r="L34" s="12">
        <f t="shared" ref="L34:L51" si="6">K34*$C$14/100*60</f>
        <v>2.5638260869565221</v>
      </c>
      <c r="M34" s="12">
        <f t="shared" ref="M34:M51" si="7">$C$27/E34*60</f>
        <v>13.333333333333332</v>
      </c>
      <c r="N34" s="12">
        <f t="shared" ref="N34:N51" si="8">$C$27/F34*60</f>
        <v>10</v>
      </c>
      <c r="O34" s="12">
        <f t="shared" ref="O34:O51" si="9">$C$28+L34+M34+N34+$C$29+$C$30+$C$31</f>
        <v>29.797159420289855</v>
      </c>
      <c r="P34" s="12">
        <f t="shared" ref="P34:P51" si="10">O34/L34</f>
        <v>11.622145344367565</v>
      </c>
      <c r="Q34" s="35">
        <f t="shared" ref="Q34:Q51" si="11">ROUNDUP(ROUND(P34,6),0)</f>
        <v>12</v>
      </c>
      <c r="R34" s="12">
        <f t="shared" ref="R34:R51" si="12">$C$13*$C$22*I34</f>
        <v>2.3400000000000003</v>
      </c>
      <c r="S34" s="16">
        <f t="shared" ref="S34:S51" si="13">O34/(R34*60)</f>
        <v>0.21223048020149468</v>
      </c>
      <c r="T34" s="16" t="str">
        <f t="shared" ref="T34:T51" si="14">IF(J34="да",S34,"")</f>
        <v/>
      </c>
    </row>
    <row r="35" spans="1:20" ht="15.6" x14ac:dyDescent="0.3">
      <c r="A35" s="32" t="s">
        <v>496</v>
      </c>
      <c r="B35" s="21">
        <v>4.5</v>
      </c>
      <c r="C35" s="10">
        <v>3.95</v>
      </c>
      <c r="D35" s="10">
        <v>2.48</v>
      </c>
      <c r="E35" s="22">
        <v>47</v>
      </c>
      <c r="F35" s="22">
        <v>60</v>
      </c>
      <c r="G35" s="12">
        <f t="shared" si="1"/>
        <v>4.7060347060347061</v>
      </c>
      <c r="H35" s="12">
        <f t="shared" si="2"/>
        <v>6.9230769230769225</v>
      </c>
      <c r="I35" s="35">
        <f t="shared" si="3"/>
        <v>4</v>
      </c>
      <c r="J35" s="3" t="str">
        <f t="shared" si="4"/>
        <v>нет</v>
      </c>
      <c r="K35" s="24">
        <f t="shared" si="5"/>
        <v>2.0347826086956524</v>
      </c>
      <c r="L35" s="12">
        <f t="shared" si="6"/>
        <v>2.5638260869565221</v>
      </c>
      <c r="M35" s="12">
        <f t="shared" si="7"/>
        <v>12.76595744680851</v>
      </c>
      <c r="N35" s="12">
        <f t="shared" si="8"/>
        <v>10</v>
      </c>
      <c r="O35" s="12">
        <f t="shared" si="9"/>
        <v>29.229783533765033</v>
      </c>
      <c r="P35" s="12">
        <f t="shared" si="10"/>
        <v>11.400844886660488</v>
      </c>
      <c r="Q35" s="35">
        <f t="shared" si="11"/>
        <v>12</v>
      </c>
      <c r="R35" s="12">
        <f t="shared" si="12"/>
        <v>2.3400000000000003</v>
      </c>
      <c r="S35" s="16">
        <f t="shared" si="13"/>
        <v>0.20818934140858286</v>
      </c>
      <c r="T35" s="16" t="str">
        <f t="shared" si="14"/>
        <v/>
      </c>
    </row>
    <row r="36" spans="1:20" ht="15.6" x14ac:dyDescent="0.3">
      <c r="A36" s="32" t="s">
        <v>497</v>
      </c>
      <c r="B36" s="21">
        <v>3.8</v>
      </c>
      <c r="C36" s="10">
        <v>5.5</v>
      </c>
      <c r="D36" s="10">
        <v>2.81</v>
      </c>
      <c r="E36" s="22">
        <v>42</v>
      </c>
      <c r="F36" s="22">
        <v>60</v>
      </c>
      <c r="G36" s="12">
        <f t="shared" si="1"/>
        <v>6.5527065527065522</v>
      </c>
      <c r="H36" s="12">
        <f t="shared" si="2"/>
        <v>5.8461538461538458</v>
      </c>
      <c r="I36" s="35">
        <f t="shared" si="3"/>
        <v>5</v>
      </c>
      <c r="J36" s="3" t="str">
        <f t="shared" si="4"/>
        <v>нет</v>
      </c>
      <c r="K36" s="24">
        <f t="shared" si="5"/>
        <v>2.5434782608695654</v>
      </c>
      <c r="L36" s="12">
        <f t="shared" si="6"/>
        <v>3.2047826086956528</v>
      </c>
      <c r="M36" s="12">
        <f t="shared" si="7"/>
        <v>14.285714285714285</v>
      </c>
      <c r="N36" s="12">
        <f t="shared" si="8"/>
        <v>10</v>
      </c>
      <c r="O36" s="12">
        <f t="shared" si="9"/>
        <v>31.390496894409939</v>
      </c>
      <c r="P36" s="12">
        <f t="shared" si="10"/>
        <v>9.7948911758435546</v>
      </c>
      <c r="Q36" s="35">
        <f t="shared" si="11"/>
        <v>10</v>
      </c>
      <c r="R36" s="12">
        <f t="shared" si="12"/>
        <v>2.9250000000000003</v>
      </c>
      <c r="S36" s="16">
        <f t="shared" si="13"/>
        <v>0.17886323016757796</v>
      </c>
      <c r="T36" s="16" t="str">
        <f t="shared" si="14"/>
        <v/>
      </c>
    </row>
    <row r="37" spans="1:20" ht="15.6" x14ac:dyDescent="0.3">
      <c r="A37" s="32" t="s">
        <v>498</v>
      </c>
      <c r="B37" s="21">
        <v>5.4</v>
      </c>
      <c r="C37" s="10">
        <v>10</v>
      </c>
      <c r="D37" s="10">
        <v>2.15</v>
      </c>
      <c r="E37" s="22">
        <v>48</v>
      </c>
      <c r="F37" s="22">
        <v>60</v>
      </c>
      <c r="G37" s="12">
        <f t="shared" si="1"/>
        <v>11.914011914011914</v>
      </c>
      <c r="H37" s="12">
        <f t="shared" si="2"/>
        <v>8.3076923076923084</v>
      </c>
      <c r="I37" s="35">
        <f t="shared" si="3"/>
        <v>8</v>
      </c>
      <c r="J37" s="3" t="str">
        <f t="shared" si="4"/>
        <v>да</v>
      </c>
      <c r="K37" s="24">
        <f t="shared" si="5"/>
        <v>4.0695652173913048</v>
      </c>
      <c r="L37" s="12">
        <f t="shared" si="6"/>
        <v>5.1276521739130443</v>
      </c>
      <c r="M37" s="12">
        <f t="shared" si="7"/>
        <v>12.5</v>
      </c>
      <c r="N37" s="12">
        <f t="shared" si="8"/>
        <v>10</v>
      </c>
      <c r="O37" s="12">
        <f t="shared" si="9"/>
        <v>31.527652173913047</v>
      </c>
      <c r="P37" s="12">
        <f t="shared" si="10"/>
        <v>6.1485551485551486</v>
      </c>
      <c r="Q37" s="35">
        <f t="shared" si="11"/>
        <v>7</v>
      </c>
      <c r="R37" s="12">
        <f t="shared" si="12"/>
        <v>4.6800000000000006</v>
      </c>
      <c r="S37" s="16">
        <f t="shared" si="13"/>
        <v>0.11227796358231142</v>
      </c>
      <c r="T37" s="16">
        <f t="shared" si="14"/>
        <v>0.11227796358231142</v>
      </c>
    </row>
    <row r="38" spans="1:20" ht="15.6" x14ac:dyDescent="0.3">
      <c r="A38" s="32" t="s">
        <v>499</v>
      </c>
      <c r="B38" s="21">
        <v>5.5</v>
      </c>
      <c r="C38" s="10">
        <v>9</v>
      </c>
      <c r="D38" s="10">
        <v>2.15</v>
      </c>
      <c r="E38" s="22">
        <v>40</v>
      </c>
      <c r="F38" s="22">
        <v>60</v>
      </c>
      <c r="G38" s="12">
        <f t="shared" si="1"/>
        <v>10.722610722610723</v>
      </c>
      <c r="H38" s="12">
        <f t="shared" si="2"/>
        <v>8.4615384615384617</v>
      </c>
      <c r="I38" s="35">
        <f t="shared" si="3"/>
        <v>8</v>
      </c>
      <c r="J38" s="3" t="str">
        <f t="shared" si="4"/>
        <v>да</v>
      </c>
      <c r="K38" s="24">
        <f t="shared" si="5"/>
        <v>4.0695652173913048</v>
      </c>
      <c r="L38" s="12">
        <f t="shared" si="6"/>
        <v>5.1276521739130443</v>
      </c>
      <c r="M38" s="12">
        <f t="shared" si="7"/>
        <v>15</v>
      </c>
      <c r="N38" s="12">
        <f t="shared" si="8"/>
        <v>10</v>
      </c>
      <c r="O38" s="12">
        <f t="shared" si="9"/>
        <v>34.027652173913047</v>
      </c>
      <c r="P38" s="12">
        <f t="shared" si="10"/>
        <v>6.6361077194410525</v>
      </c>
      <c r="Q38" s="35">
        <f t="shared" si="11"/>
        <v>7</v>
      </c>
      <c r="R38" s="12">
        <f t="shared" si="12"/>
        <v>4.6800000000000006</v>
      </c>
      <c r="S38" s="16">
        <f t="shared" si="13"/>
        <v>0.12118109748544532</v>
      </c>
      <c r="T38" s="16">
        <f t="shared" si="14"/>
        <v>0.12118109748544532</v>
      </c>
    </row>
    <row r="39" spans="1:20" ht="15.6" x14ac:dyDescent="0.3">
      <c r="A39" s="32" t="s">
        <v>500</v>
      </c>
      <c r="B39" s="21">
        <v>5.5</v>
      </c>
      <c r="C39" s="10">
        <v>7</v>
      </c>
      <c r="D39" s="10">
        <v>2.15</v>
      </c>
      <c r="E39" s="22">
        <v>42</v>
      </c>
      <c r="F39" s="22">
        <v>60</v>
      </c>
      <c r="G39" s="12">
        <f t="shared" si="1"/>
        <v>8.3398083398083394</v>
      </c>
      <c r="H39" s="12">
        <f t="shared" si="2"/>
        <v>8.4615384615384617</v>
      </c>
      <c r="I39" s="35">
        <f t="shared" si="3"/>
        <v>8</v>
      </c>
      <c r="J39" s="3" t="str">
        <f t="shared" si="4"/>
        <v>да</v>
      </c>
      <c r="K39" s="24">
        <f t="shared" si="5"/>
        <v>4.0695652173913048</v>
      </c>
      <c r="L39" s="12">
        <f t="shared" si="6"/>
        <v>5.1276521739130443</v>
      </c>
      <c r="M39" s="12">
        <f t="shared" si="7"/>
        <v>14.285714285714285</v>
      </c>
      <c r="N39" s="12">
        <f t="shared" si="8"/>
        <v>10</v>
      </c>
      <c r="O39" s="12">
        <f t="shared" si="9"/>
        <v>33.313366459627332</v>
      </c>
      <c r="P39" s="12">
        <f t="shared" si="10"/>
        <v>6.4968069849022223</v>
      </c>
      <c r="Q39" s="35">
        <f t="shared" si="11"/>
        <v>7</v>
      </c>
      <c r="R39" s="12">
        <f t="shared" si="12"/>
        <v>4.6800000000000006</v>
      </c>
      <c r="S39" s="16">
        <f t="shared" si="13"/>
        <v>0.11863734494169277</v>
      </c>
      <c r="T39" s="16">
        <f t="shared" si="14"/>
        <v>0.11863734494169277</v>
      </c>
    </row>
    <row r="40" spans="1:20" ht="15.6" x14ac:dyDescent="0.3">
      <c r="A40" s="32" t="s">
        <v>501</v>
      </c>
      <c r="B40" s="21">
        <v>10.5</v>
      </c>
      <c r="C40" s="10">
        <v>20</v>
      </c>
      <c r="D40" s="10">
        <v>2.6</v>
      </c>
      <c r="E40" s="22">
        <v>50</v>
      </c>
      <c r="F40" s="22">
        <v>60</v>
      </c>
      <c r="G40" s="12">
        <f t="shared" si="1"/>
        <v>23.828023828023827</v>
      </c>
      <c r="H40" s="12">
        <f t="shared" si="2"/>
        <v>16.153846153846153</v>
      </c>
      <c r="I40" s="35">
        <f t="shared" si="3"/>
        <v>16</v>
      </c>
      <c r="J40" s="3" t="str">
        <f t="shared" si="4"/>
        <v>нет</v>
      </c>
      <c r="K40" s="24">
        <f t="shared" si="5"/>
        <v>8.1391304347826097</v>
      </c>
      <c r="L40" s="12">
        <f t="shared" si="6"/>
        <v>10.255304347826089</v>
      </c>
      <c r="M40" s="12">
        <f t="shared" si="7"/>
        <v>12</v>
      </c>
      <c r="N40" s="12">
        <f t="shared" si="8"/>
        <v>10</v>
      </c>
      <c r="O40" s="12">
        <f t="shared" si="9"/>
        <v>36.155304347826089</v>
      </c>
      <c r="P40" s="12">
        <f t="shared" si="10"/>
        <v>3.5255223171889836</v>
      </c>
      <c r="Q40" s="35">
        <f t="shared" si="11"/>
        <v>4</v>
      </c>
      <c r="R40" s="12">
        <f t="shared" si="12"/>
        <v>9.3600000000000012</v>
      </c>
      <c r="S40" s="16">
        <f t="shared" si="13"/>
        <v>6.4379103183451011E-2</v>
      </c>
      <c r="T40" s="16" t="str">
        <f t="shared" si="14"/>
        <v/>
      </c>
    </row>
    <row r="41" spans="1:20" ht="15.6" x14ac:dyDescent="0.3">
      <c r="A41" s="32" t="s">
        <v>502</v>
      </c>
      <c r="B41" s="21">
        <v>11</v>
      </c>
      <c r="C41" s="10">
        <v>20</v>
      </c>
      <c r="D41" s="10">
        <v>2.5299999999999998</v>
      </c>
      <c r="E41" s="22">
        <v>48</v>
      </c>
      <c r="F41" s="22">
        <v>60</v>
      </c>
      <c r="G41" s="12">
        <f t="shared" si="1"/>
        <v>23.828023828023827</v>
      </c>
      <c r="H41" s="12">
        <f t="shared" si="2"/>
        <v>16.923076923076923</v>
      </c>
      <c r="I41" s="35">
        <f t="shared" si="3"/>
        <v>16</v>
      </c>
      <c r="J41" s="3" t="str">
        <f t="shared" si="4"/>
        <v>нет</v>
      </c>
      <c r="K41" s="24">
        <f t="shared" si="5"/>
        <v>8.1391304347826097</v>
      </c>
      <c r="L41" s="12">
        <f t="shared" si="6"/>
        <v>10.255304347826089</v>
      </c>
      <c r="M41" s="12">
        <f t="shared" si="7"/>
        <v>12.5</v>
      </c>
      <c r="N41" s="12">
        <f t="shared" si="8"/>
        <v>10</v>
      </c>
      <c r="O41" s="12">
        <f t="shared" si="9"/>
        <v>36.655304347826089</v>
      </c>
      <c r="P41" s="12">
        <f t="shared" si="10"/>
        <v>3.5742775742775739</v>
      </c>
      <c r="Q41" s="35">
        <f t="shared" si="11"/>
        <v>4</v>
      </c>
      <c r="R41" s="12">
        <f t="shared" si="12"/>
        <v>9.3600000000000012</v>
      </c>
      <c r="S41" s="16">
        <f t="shared" si="13"/>
        <v>6.5269416573764394E-2</v>
      </c>
      <c r="T41" s="16" t="str">
        <f t="shared" si="14"/>
        <v/>
      </c>
    </row>
    <row r="42" spans="1:20" ht="15.6" x14ac:dyDescent="0.3">
      <c r="A42" s="32" t="s">
        <v>503</v>
      </c>
      <c r="B42" s="21">
        <v>12</v>
      </c>
      <c r="C42" s="10">
        <v>14.4</v>
      </c>
      <c r="D42" s="10">
        <v>3.2</v>
      </c>
      <c r="E42" s="22">
        <v>55</v>
      </c>
      <c r="F42" s="22">
        <v>60</v>
      </c>
      <c r="G42" s="12">
        <f t="shared" si="1"/>
        <v>17.156177156177154</v>
      </c>
      <c r="H42" s="12">
        <f t="shared" si="2"/>
        <v>18.46153846153846</v>
      </c>
      <c r="I42" s="35">
        <f t="shared" si="3"/>
        <v>17</v>
      </c>
      <c r="J42" s="3" t="str">
        <f t="shared" si="4"/>
        <v>нет</v>
      </c>
      <c r="K42" s="24">
        <f t="shared" si="5"/>
        <v>8.6478260869565222</v>
      </c>
      <c r="L42" s="12">
        <f t="shared" si="6"/>
        <v>10.896260869565218</v>
      </c>
      <c r="M42" s="12">
        <f t="shared" si="7"/>
        <v>10.90909090909091</v>
      </c>
      <c r="N42" s="12">
        <f t="shared" si="8"/>
        <v>10</v>
      </c>
      <c r="O42" s="12">
        <f t="shared" si="9"/>
        <v>35.70535177865613</v>
      </c>
      <c r="P42" s="12">
        <f t="shared" si="10"/>
        <v>3.2768444337071791</v>
      </c>
      <c r="Q42" s="35">
        <f t="shared" si="11"/>
        <v>4</v>
      </c>
      <c r="R42" s="12">
        <f t="shared" si="12"/>
        <v>9.9450000000000021</v>
      </c>
      <c r="S42" s="16">
        <f t="shared" si="13"/>
        <v>5.9838028789435428E-2</v>
      </c>
      <c r="T42" s="16" t="str">
        <f t="shared" si="14"/>
        <v/>
      </c>
    </row>
    <row r="43" spans="1:20" ht="15.6" x14ac:dyDescent="0.3">
      <c r="A43" s="32" t="s">
        <v>504</v>
      </c>
      <c r="B43" s="21">
        <v>11</v>
      </c>
      <c r="C43" s="10">
        <v>18.5</v>
      </c>
      <c r="D43" s="10">
        <v>3.02</v>
      </c>
      <c r="E43" s="22">
        <v>55</v>
      </c>
      <c r="F43" s="22">
        <v>60</v>
      </c>
      <c r="G43" s="12">
        <f t="shared" si="1"/>
        <v>22.040922040922041</v>
      </c>
      <c r="H43" s="12">
        <f t="shared" si="2"/>
        <v>16.923076923076923</v>
      </c>
      <c r="I43" s="35">
        <f t="shared" si="3"/>
        <v>16</v>
      </c>
      <c r="J43" s="3" t="str">
        <f t="shared" si="4"/>
        <v>нет</v>
      </c>
      <c r="K43" s="24">
        <f t="shared" si="5"/>
        <v>8.1391304347826097</v>
      </c>
      <c r="L43" s="12">
        <f t="shared" si="6"/>
        <v>10.255304347826089</v>
      </c>
      <c r="M43" s="12">
        <f t="shared" si="7"/>
        <v>10.90909090909091</v>
      </c>
      <c r="N43" s="12">
        <f t="shared" si="8"/>
        <v>10</v>
      </c>
      <c r="O43" s="12">
        <f t="shared" si="9"/>
        <v>35.064395256917003</v>
      </c>
      <c r="P43" s="12">
        <f t="shared" si="10"/>
        <v>3.4191472108138776</v>
      </c>
      <c r="Q43" s="35">
        <f t="shared" si="11"/>
        <v>4</v>
      </c>
      <c r="R43" s="12">
        <f t="shared" si="12"/>
        <v>9.3600000000000012</v>
      </c>
      <c r="S43" s="16">
        <f t="shared" si="13"/>
        <v>6.2436601240949074E-2</v>
      </c>
      <c r="T43" s="16" t="str">
        <f t="shared" si="14"/>
        <v/>
      </c>
    </row>
    <row r="44" spans="1:20" ht="15.6" x14ac:dyDescent="0.3">
      <c r="A44" s="32" t="s">
        <v>505</v>
      </c>
      <c r="B44" s="21">
        <v>6.6</v>
      </c>
      <c r="C44" s="10">
        <v>13</v>
      </c>
      <c r="D44" s="10">
        <v>2.85</v>
      </c>
      <c r="E44" s="22">
        <v>55</v>
      </c>
      <c r="F44" s="22">
        <v>60</v>
      </c>
      <c r="G44" s="12">
        <f t="shared" si="1"/>
        <v>15.488215488215488</v>
      </c>
      <c r="H44" s="12">
        <f t="shared" si="2"/>
        <v>10.153846153846153</v>
      </c>
      <c r="I44" s="35">
        <f t="shared" si="3"/>
        <v>10</v>
      </c>
      <c r="J44" s="3" t="str">
        <f t="shared" si="4"/>
        <v>да</v>
      </c>
      <c r="K44" s="24">
        <f t="shared" si="5"/>
        <v>5.0869565217391308</v>
      </c>
      <c r="L44" s="12">
        <f t="shared" si="6"/>
        <v>6.4095652173913056</v>
      </c>
      <c r="M44" s="12">
        <f t="shared" si="7"/>
        <v>10.90909090909091</v>
      </c>
      <c r="N44" s="12">
        <f t="shared" si="8"/>
        <v>10</v>
      </c>
      <c r="O44" s="12">
        <f t="shared" si="9"/>
        <v>31.218656126482216</v>
      </c>
      <c r="P44" s="12">
        <f t="shared" si="10"/>
        <v>4.8706355373022037</v>
      </c>
      <c r="Q44" s="35">
        <f t="shared" si="11"/>
        <v>5</v>
      </c>
      <c r="R44" s="12">
        <f t="shared" si="12"/>
        <v>5.8500000000000005</v>
      </c>
      <c r="S44" s="16">
        <f t="shared" si="13"/>
        <v>8.8942040246388063E-2</v>
      </c>
      <c r="T44" s="16">
        <f t="shared" si="14"/>
        <v>8.8942040246388063E-2</v>
      </c>
    </row>
    <row r="45" spans="1:20" ht="15.6" x14ac:dyDescent="0.3">
      <c r="A45" s="32" t="s">
        <v>506</v>
      </c>
      <c r="B45" s="21">
        <v>8.5</v>
      </c>
      <c r="C45" s="10">
        <v>15</v>
      </c>
      <c r="D45" s="10">
        <v>2.96</v>
      </c>
      <c r="E45" s="22">
        <v>55</v>
      </c>
      <c r="F45" s="22">
        <v>60</v>
      </c>
      <c r="G45" s="12">
        <f t="shared" si="1"/>
        <v>17.87101787101787</v>
      </c>
      <c r="H45" s="12">
        <f t="shared" si="2"/>
        <v>13.076923076923077</v>
      </c>
      <c r="I45" s="35">
        <f t="shared" si="3"/>
        <v>13</v>
      </c>
      <c r="J45" s="3" t="str">
        <f t="shared" si="4"/>
        <v>нет</v>
      </c>
      <c r="K45" s="24">
        <f t="shared" si="5"/>
        <v>6.6130434782608702</v>
      </c>
      <c r="L45" s="12">
        <f t="shared" si="6"/>
        <v>8.3324347826086971</v>
      </c>
      <c r="M45" s="12">
        <f t="shared" si="7"/>
        <v>10.90909090909091</v>
      </c>
      <c r="N45" s="12">
        <f t="shared" si="8"/>
        <v>10</v>
      </c>
      <c r="O45" s="12">
        <f t="shared" si="9"/>
        <v>33.141525691699613</v>
      </c>
      <c r="P45" s="12">
        <f t="shared" si="10"/>
        <v>3.9774119517709265</v>
      </c>
      <c r="Q45" s="35">
        <f t="shared" si="11"/>
        <v>4</v>
      </c>
      <c r="R45" s="12">
        <f t="shared" si="12"/>
        <v>7.6050000000000013</v>
      </c>
      <c r="S45" s="16">
        <f t="shared" si="13"/>
        <v>7.2631000858425609E-2</v>
      </c>
      <c r="T45" s="16" t="str">
        <f t="shared" si="14"/>
        <v/>
      </c>
    </row>
    <row r="46" spans="1:20" ht="15.6" x14ac:dyDescent="0.3">
      <c r="A46" s="32" t="s">
        <v>507</v>
      </c>
      <c r="B46" s="21">
        <v>6.5</v>
      </c>
      <c r="C46" s="10">
        <v>7.5</v>
      </c>
      <c r="D46" s="10">
        <v>2.87</v>
      </c>
      <c r="E46" s="22">
        <v>52</v>
      </c>
      <c r="F46" s="22">
        <v>60</v>
      </c>
      <c r="G46" s="12">
        <f t="shared" si="1"/>
        <v>8.9355089355089348</v>
      </c>
      <c r="H46" s="12">
        <f t="shared" si="2"/>
        <v>10</v>
      </c>
      <c r="I46" s="35">
        <f t="shared" si="3"/>
        <v>8</v>
      </c>
      <c r="J46" s="3" t="str">
        <f t="shared" si="4"/>
        <v>да</v>
      </c>
      <c r="K46" s="24">
        <f t="shared" si="5"/>
        <v>4.0695652173913048</v>
      </c>
      <c r="L46" s="12">
        <f t="shared" si="6"/>
        <v>5.1276521739130443</v>
      </c>
      <c r="M46" s="12">
        <f t="shared" si="7"/>
        <v>11.538461538461538</v>
      </c>
      <c r="N46" s="12">
        <f t="shared" si="8"/>
        <v>10</v>
      </c>
      <c r="O46" s="12">
        <f t="shared" si="9"/>
        <v>30.566113712374584</v>
      </c>
      <c r="P46" s="12">
        <f t="shared" si="10"/>
        <v>5.9610349289836462</v>
      </c>
      <c r="Q46" s="35">
        <f t="shared" si="11"/>
        <v>6</v>
      </c>
      <c r="R46" s="12">
        <f t="shared" si="12"/>
        <v>4.6800000000000006</v>
      </c>
      <c r="S46" s="16">
        <f t="shared" si="13"/>
        <v>0.1088536813118753</v>
      </c>
      <c r="T46" s="16">
        <f t="shared" si="14"/>
        <v>0.1088536813118753</v>
      </c>
    </row>
    <row r="47" spans="1:20" ht="15.6" x14ac:dyDescent="0.3">
      <c r="A47" s="32" t="s">
        <v>508</v>
      </c>
      <c r="B47" s="21">
        <v>12</v>
      </c>
      <c r="C47" s="10">
        <v>18</v>
      </c>
      <c r="D47" s="10">
        <v>2.7</v>
      </c>
      <c r="E47" s="22">
        <v>45</v>
      </c>
      <c r="F47" s="22">
        <v>60</v>
      </c>
      <c r="G47" s="12">
        <f t="shared" si="1"/>
        <v>21.445221445221446</v>
      </c>
      <c r="H47" s="12">
        <f t="shared" si="2"/>
        <v>18.46153846153846</v>
      </c>
      <c r="I47" s="35">
        <f t="shared" si="3"/>
        <v>18</v>
      </c>
      <c r="J47" s="3" t="str">
        <f t="shared" si="4"/>
        <v>нет</v>
      </c>
      <c r="K47" s="24">
        <f t="shared" si="5"/>
        <v>9.1565217391304365</v>
      </c>
      <c r="L47" s="12">
        <f t="shared" si="6"/>
        <v>11.537217391304351</v>
      </c>
      <c r="M47" s="12">
        <f t="shared" si="7"/>
        <v>13.333333333333332</v>
      </c>
      <c r="N47" s="12">
        <f t="shared" si="8"/>
        <v>10</v>
      </c>
      <c r="O47" s="12">
        <f t="shared" si="9"/>
        <v>38.770550724637687</v>
      </c>
      <c r="P47" s="12">
        <f t="shared" si="10"/>
        <v>3.360476743192792</v>
      </c>
      <c r="Q47" s="35">
        <f t="shared" si="11"/>
        <v>4</v>
      </c>
      <c r="R47" s="12">
        <f t="shared" si="12"/>
        <v>10.530000000000001</v>
      </c>
      <c r="S47" s="16">
        <f t="shared" si="13"/>
        <v>6.1365227484390127E-2</v>
      </c>
      <c r="T47" s="16" t="str">
        <f t="shared" si="14"/>
        <v/>
      </c>
    </row>
    <row r="48" spans="1:20" ht="15.6" x14ac:dyDescent="0.3">
      <c r="A48" s="32" t="s">
        <v>509</v>
      </c>
      <c r="B48" s="21">
        <v>10.5</v>
      </c>
      <c r="C48" s="10">
        <v>16</v>
      </c>
      <c r="D48" s="10">
        <v>2.42</v>
      </c>
      <c r="E48" s="22">
        <v>45</v>
      </c>
      <c r="F48" s="22">
        <v>60</v>
      </c>
      <c r="G48" s="12">
        <f t="shared" si="1"/>
        <v>19.06241906241906</v>
      </c>
      <c r="H48" s="12">
        <f t="shared" si="2"/>
        <v>16.153846153846153</v>
      </c>
      <c r="I48" s="35">
        <f t="shared" si="3"/>
        <v>16</v>
      </c>
      <c r="J48" s="3" t="str">
        <f t="shared" si="4"/>
        <v>нет</v>
      </c>
      <c r="K48" s="24">
        <f t="shared" si="5"/>
        <v>8.1391304347826097</v>
      </c>
      <c r="L48" s="12">
        <f t="shared" si="6"/>
        <v>10.255304347826089</v>
      </c>
      <c r="M48" s="12">
        <f t="shared" si="7"/>
        <v>13.333333333333332</v>
      </c>
      <c r="N48" s="12">
        <f t="shared" si="8"/>
        <v>10</v>
      </c>
      <c r="O48" s="12">
        <f t="shared" si="9"/>
        <v>37.488637681159425</v>
      </c>
      <c r="P48" s="12">
        <f t="shared" si="10"/>
        <v>3.6555363360918913</v>
      </c>
      <c r="Q48" s="35">
        <f t="shared" si="11"/>
        <v>4</v>
      </c>
      <c r="R48" s="12">
        <f t="shared" si="12"/>
        <v>9.3600000000000012</v>
      </c>
      <c r="S48" s="16">
        <f t="shared" si="13"/>
        <v>6.6753272224286717E-2</v>
      </c>
      <c r="T48" s="16" t="str">
        <f t="shared" si="14"/>
        <v/>
      </c>
    </row>
    <row r="49" spans="1:20" ht="15.6" x14ac:dyDescent="0.3">
      <c r="A49" s="32" t="s">
        <v>510</v>
      </c>
      <c r="B49" s="21">
        <v>10.5</v>
      </c>
      <c r="C49" s="10">
        <v>13.5</v>
      </c>
      <c r="D49" s="10">
        <v>2.46</v>
      </c>
      <c r="E49" s="22">
        <v>45</v>
      </c>
      <c r="F49" s="22">
        <v>60</v>
      </c>
      <c r="G49" s="12">
        <f t="shared" si="1"/>
        <v>16.083916083916083</v>
      </c>
      <c r="H49" s="12">
        <f t="shared" si="2"/>
        <v>16.153846153846153</v>
      </c>
      <c r="I49" s="35">
        <f t="shared" si="3"/>
        <v>16</v>
      </c>
      <c r="J49" s="3" t="str">
        <f t="shared" si="4"/>
        <v>нет</v>
      </c>
      <c r="K49" s="24">
        <f t="shared" si="5"/>
        <v>8.1391304347826097</v>
      </c>
      <c r="L49" s="12">
        <f t="shared" si="6"/>
        <v>10.255304347826089</v>
      </c>
      <c r="M49" s="12">
        <f t="shared" si="7"/>
        <v>13.333333333333332</v>
      </c>
      <c r="N49" s="12">
        <f t="shared" si="8"/>
        <v>10</v>
      </c>
      <c r="O49" s="12">
        <f t="shared" si="9"/>
        <v>37.488637681159425</v>
      </c>
      <c r="P49" s="12">
        <f t="shared" si="10"/>
        <v>3.6555363360918913</v>
      </c>
      <c r="Q49" s="35">
        <f t="shared" si="11"/>
        <v>4</v>
      </c>
      <c r="R49" s="12">
        <f t="shared" si="12"/>
        <v>9.3600000000000012</v>
      </c>
      <c r="S49" s="16">
        <f t="shared" si="13"/>
        <v>6.6753272224286717E-2</v>
      </c>
      <c r="T49" s="16" t="str">
        <f t="shared" si="14"/>
        <v/>
      </c>
    </row>
    <row r="50" spans="1:20" ht="15.6" x14ac:dyDescent="0.3">
      <c r="A50" s="32" t="s">
        <v>511</v>
      </c>
      <c r="B50" s="21">
        <v>20</v>
      </c>
      <c r="C50" s="10">
        <v>22.5</v>
      </c>
      <c r="D50" s="10">
        <v>2.96</v>
      </c>
      <c r="E50" s="22">
        <v>40</v>
      </c>
      <c r="F50" s="22">
        <v>60</v>
      </c>
      <c r="G50" s="12">
        <f t="shared" si="1"/>
        <v>26.806526806526804</v>
      </c>
      <c r="H50" s="12">
        <f t="shared" si="2"/>
        <v>30.769230769230766</v>
      </c>
      <c r="I50" s="35">
        <f t="shared" si="3"/>
        <v>26</v>
      </c>
      <c r="J50" s="3" t="str">
        <f t="shared" si="4"/>
        <v>нет</v>
      </c>
      <c r="K50" s="24">
        <f t="shared" si="5"/>
        <v>13.22608695652174</v>
      </c>
      <c r="L50" s="12">
        <f t="shared" si="6"/>
        <v>16.664869565217394</v>
      </c>
      <c r="M50" s="12">
        <f t="shared" si="7"/>
        <v>15</v>
      </c>
      <c r="N50" s="12">
        <f t="shared" si="8"/>
        <v>10</v>
      </c>
      <c r="O50" s="12">
        <f t="shared" si="9"/>
        <v>45.5648695652174</v>
      </c>
      <c r="P50" s="12">
        <f t="shared" si="10"/>
        <v>2.7341869905972471</v>
      </c>
      <c r="Q50" s="35">
        <f t="shared" si="11"/>
        <v>3</v>
      </c>
      <c r="R50" s="12">
        <f t="shared" si="12"/>
        <v>15.210000000000003</v>
      </c>
      <c r="S50" s="16">
        <f t="shared" si="13"/>
        <v>4.99286320022106E-2</v>
      </c>
      <c r="T50" s="16" t="str">
        <f t="shared" si="14"/>
        <v/>
      </c>
    </row>
    <row r="51" spans="1:20" ht="15.6" x14ac:dyDescent="0.3">
      <c r="A51" s="32" t="s">
        <v>512</v>
      </c>
      <c r="B51" s="21">
        <v>18</v>
      </c>
      <c r="C51" s="10">
        <v>20.5</v>
      </c>
      <c r="D51" s="10">
        <v>2.96</v>
      </c>
      <c r="E51" s="22">
        <v>40</v>
      </c>
      <c r="F51" s="22">
        <v>60</v>
      </c>
      <c r="G51" s="12">
        <f t="shared" si="1"/>
        <v>24.423724423724423</v>
      </c>
      <c r="H51" s="12">
        <f t="shared" si="2"/>
        <v>27.69230769230769</v>
      </c>
      <c r="I51" s="35">
        <f t="shared" si="3"/>
        <v>24</v>
      </c>
      <c r="J51" s="3" t="str">
        <f t="shared" si="4"/>
        <v>нет</v>
      </c>
      <c r="K51" s="24">
        <f t="shared" si="5"/>
        <v>12.208695652173915</v>
      </c>
      <c r="L51" s="12">
        <f t="shared" si="6"/>
        <v>15.382956521739132</v>
      </c>
      <c r="M51" s="12">
        <f t="shared" si="7"/>
        <v>15</v>
      </c>
      <c r="N51" s="12">
        <f t="shared" si="8"/>
        <v>10</v>
      </c>
      <c r="O51" s="12">
        <f t="shared" si="9"/>
        <v>44.282956521739131</v>
      </c>
      <c r="P51" s="12">
        <f t="shared" si="10"/>
        <v>2.8787025731470175</v>
      </c>
      <c r="Q51" s="35">
        <f t="shared" si="11"/>
        <v>3</v>
      </c>
      <c r="R51" s="12">
        <f t="shared" si="12"/>
        <v>14.040000000000003</v>
      </c>
      <c r="S51" s="16">
        <f t="shared" si="13"/>
        <v>5.2567612205293351E-2</v>
      </c>
      <c r="T51" s="16" t="str">
        <f t="shared" si="14"/>
        <v/>
      </c>
    </row>
    <row r="53" spans="1:20" ht="15.6" x14ac:dyDescent="0.3">
      <c r="A53" s="48" t="s">
        <v>513</v>
      </c>
      <c r="B53" s="41"/>
      <c r="C53" s="15" t="str">
        <f>INDEX($A$34:$A$51,MATCH(MIN($T$34:$T$51),$T$34:$T$51,0))</f>
        <v>КамАЗ-55111</v>
      </c>
    </row>
    <row r="54" spans="1:20" ht="15.6" x14ac:dyDescent="0.3">
      <c r="A54" s="40" t="s">
        <v>514</v>
      </c>
      <c r="B54" s="41"/>
      <c r="C54" s="35">
        <f>INDEX($I$34:$I$51,MATCH(MIN($T$34:$T$51),$T$34:$T$51,0))</f>
        <v>10</v>
      </c>
    </row>
    <row r="55" spans="1:20" ht="15.6" x14ac:dyDescent="0.3">
      <c r="A55" s="40" t="s">
        <v>515</v>
      </c>
      <c r="B55" s="41"/>
      <c r="C55" s="35">
        <f>INDEX($Q$34:$Q$51,MATCH(MIN($T$34:$T$51),$T$34:$T$51,0))</f>
        <v>5</v>
      </c>
    </row>
    <row r="56" spans="1:20" ht="15.6" x14ac:dyDescent="0.3">
      <c r="A56" s="40" t="s">
        <v>516</v>
      </c>
      <c r="B56" s="41"/>
      <c r="C56" s="16">
        <f>INDEX($S$34:$S$51,MATCH(MIN($T$34:$T$51),$T$34:$T$51,0))</f>
        <v>8.8942040246388063E-2</v>
      </c>
    </row>
  </sheetData>
  <mergeCells count="25">
    <mergeCell ref="A56:B56"/>
    <mergeCell ref="A3:B3"/>
    <mergeCell ref="A55:B55"/>
    <mergeCell ref="A12:B12"/>
    <mergeCell ref="A26:B26"/>
    <mergeCell ref="A5:B5"/>
    <mergeCell ref="A14:B14"/>
    <mergeCell ref="A23:B23"/>
    <mergeCell ref="A17:B17"/>
    <mergeCell ref="A22:B22"/>
    <mergeCell ref="A53:B53"/>
    <mergeCell ref="A4:B4"/>
    <mergeCell ref="A29:B29"/>
    <mergeCell ref="A19:B19"/>
    <mergeCell ref="A28:B28"/>
    <mergeCell ref="A13:B13"/>
    <mergeCell ref="A24:B24"/>
    <mergeCell ref="A30:B30"/>
    <mergeCell ref="A15:B15"/>
    <mergeCell ref="A16:B16"/>
    <mergeCell ref="A54:B54"/>
    <mergeCell ref="A25:B25"/>
    <mergeCell ref="A18:B18"/>
    <mergeCell ref="A27:B27"/>
    <mergeCell ref="A31:B31"/>
  </mergeCell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Содержание</vt:lpstr>
      <vt:lpstr>Исходные данные</vt:lpstr>
      <vt:lpstr>ЛНР (черн.)</vt:lpstr>
      <vt:lpstr>Табл. 1 объёмы (черн.)</vt:lpstr>
      <vt:lpstr>Котлован (черн.)</vt:lpstr>
      <vt:lpstr>Табл. 2 баланс (черн.)</vt:lpstr>
      <vt:lpstr>Отметки (оконч.)</vt:lpstr>
      <vt:lpstr>ЛНР (оконч.)</vt:lpstr>
      <vt:lpstr>Табл. 1 объёмы (оконч.)</vt:lpstr>
      <vt:lpstr>Котлован (оконч.)</vt:lpstr>
      <vt:lpstr>Табл. 2 баланс (оконч.)</vt:lpstr>
      <vt:lpstr>Табл. 3 котлован</vt:lpstr>
      <vt:lpstr>Табл. 4 распределение</vt:lpstr>
      <vt:lpstr>Табл. 5 скрепер</vt:lpstr>
      <vt:lpstr>Табл. 6 самосвал</vt:lpstr>
      <vt:lpstr>2.3 Грунт и нормы ЕНиР</vt:lpstr>
      <vt:lpstr>Табл. 7 варианты</vt:lpstr>
      <vt:lpstr>2.3.2 Экскаватор, самосвалы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</cp:lastModifiedBy>
  <dcterms:created xsi:type="dcterms:W3CDTF">2026-10-23T12:28:03Z</dcterms:created>
  <dcterms:modified xsi:type="dcterms:W3CDTF">2026-10-23T12:28:07Z</dcterms:modified>
</cp:coreProperties>
</file>