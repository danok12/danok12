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Kursovoy\.claude\worktrees\kursovoy-viv-variant-3-388c78\kursovoy-viv\excel\"/>
    </mc:Choice>
  </mc:AlternateContent>
  <xr:revisionPtr revIDLastSave="0" documentId="13_ncr:1_{E7298C2B-16EF-42D6-80E8-7CAC3B037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Расчёт" sheetId="1" r:id="rId1"/>
    <sheet name="α" sheetId="2" r:id="rId2"/>
    <sheet name="Табл. Б.2" sheetId="3" r:id="rId3"/>
    <sheet name="Табл. Б.1" sheetId="4" r:id="rId4"/>
    <sheet name="Табл. А.2" sheetId="5" r:id="rId5"/>
  </sheets>
  <definedNames>
    <definedName name="A2_B">'Табл. А.2'!$B$3:$B$9</definedName>
    <definedName name="A2_C">'Табл. А.2'!$C$3:$C$9</definedName>
    <definedName name="A2_D">'Табл. А.2'!$D$3:$D$9</definedName>
    <definedName name="A2_E">'Табл. А.2'!$E$3:$E$9</definedName>
    <definedName name="A2_F">'Табл. А.2'!$F$3:$F$9</definedName>
    <definedName name="A2_G">'Табл. А.2'!$G$3:$G$9</definedName>
    <definedName name="A2_H">'Табл. А.2'!$H$3:$H$9</definedName>
    <definedName name="A2_I">'Табл. А.2'!$I$3:$I$9</definedName>
    <definedName name="A2_IMYA">'Табл. А.2'!$A$3:$A$9</definedName>
    <definedName name="A2_J">'Табл. А.2'!$J$3:$J$9</definedName>
    <definedName name="B1_N">'Табл. Б.1'!$A$3:$A$54</definedName>
    <definedName name="B1_P">'Табл. Б.1'!$B$2:$K$2</definedName>
    <definedName name="B1_T">'Табл. Б.1'!$B$3:$K$54</definedName>
    <definedName name="B2_A">'Табл. Б.2'!$B$3:$B$583</definedName>
    <definedName name="B2_NP">'Табл. Б.2'!$A$3:$A$583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8" i="1" l="1"/>
  <c r="B5" i="2" s="1"/>
  <c r="D33" i="1"/>
  <c r="C39" i="1" s="1"/>
  <c r="C33" i="1"/>
  <c r="C38" i="1" s="1"/>
  <c r="D32" i="1"/>
  <c r="E32" i="1" s="1"/>
  <c r="I40" i="1" s="1"/>
  <c r="C32" i="1"/>
  <c r="I38" i="1" s="1"/>
  <c r="D31" i="1"/>
  <c r="E31" i="1" s="1"/>
  <c r="H40" i="1" s="1"/>
  <c r="C31" i="1"/>
  <c r="H38" i="1" s="1"/>
  <c r="D30" i="1"/>
  <c r="G39" i="1" s="1"/>
  <c r="C30" i="1"/>
  <c r="D29" i="1"/>
  <c r="F39" i="1" s="1"/>
  <c r="C29" i="1"/>
  <c r="F38" i="1" s="1"/>
  <c r="C25" i="1"/>
  <c r="E39" i="1" s="1"/>
  <c r="C24" i="1"/>
  <c r="C23" i="1"/>
  <c r="B53" i="1" s="1"/>
  <c r="C18" i="1"/>
  <c r="C22" i="1" s="1"/>
  <c r="J17" i="1"/>
  <c r="I17" i="1"/>
  <c r="E17" i="1"/>
  <c r="H17" i="1" s="1"/>
  <c r="J16" i="1"/>
  <c r="I16" i="1"/>
  <c r="E16" i="1"/>
  <c r="H16" i="1" s="1"/>
  <c r="J15" i="1"/>
  <c r="I15" i="1"/>
  <c r="E15" i="1"/>
  <c r="H15" i="1" s="1"/>
  <c r="J14" i="1"/>
  <c r="I14" i="1"/>
  <c r="I18" i="1" s="1"/>
  <c r="E14" i="1"/>
  <c r="H14" i="1" s="1"/>
  <c r="J13" i="1"/>
  <c r="J18" i="1" s="1"/>
  <c r="I13" i="1"/>
  <c r="E13" i="1"/>
  <c r="H13" i="1" s="1"/>
  <c r="D39" i="1" l="1"/>
  <c r="J39" i="1" s="1"/>
  <c r="K39" i="1" s="1"/>
  <c r="D40" i="1"/>
  <c r="B54" i="1"/>
  <c r="E40" i="1"/>
  <c r="H18" i="1"/>
  <c r="C21" i="1" s="1"/>
  <c r="G38" i="1"/>
  <c r="B4" i="2"/>
  <c r="E30" i="1"/>
  <c r="G40" i="1" s="1"/>
  <c r="L40" i="1" s="1"/>
  <c r="H39" i="1"/>
  <c r="I39" i="1"/>
  <c r="B3" i="2"/>
  <c r="B7" i="2"/>
  <c r="B6" i="2"/>
  <c r="B2" i="2"/>
  <c r="E33" i="1"/>
  <c r="C40" i="1" s="1"/>
  <c r="D38" i="1"/>
  <c r="J38" i="1" s="1"/>
  <c r="E29" i="1"/>
  <c r="F40" i="1" s="1"/>
  <c r="J40" i="1" l="1"/>
  <c r="K38" i="1"/>
  <c r="B56" i="1" s="1"/>
  <c r="C4" i="2"/>
  <c r="E4" i="2" s="1"/>
  <c r="M40" i="1"/>
  <c r="P40" i="1"/>
  <c r="D4" i="2"/>
  <c r="L39" i="1"/>
  <c r="B55" i="1"/>
  <c r="L38" i="1"/>
  <c r="K40" i="1"/>
  <c r="F4" i="2" l="1"/>
  <c r="AC4" i="2" s="1"/>
  <c r="J47" i="1" s="1"/>
  <c r="H47" i="1"/>
  <c r="C3" i="2"/>
  <c r="M39" i="1"/>
  <c r="N4" i="2"/>
  <c r="AB4" i="2"/>
  <c r="C47" i="1" s="1"/>
  <c r="L4" i="2"/>
  <c r="C7" i="2"/>
  <c r="Q40" i="1"/>
  <c r="P39" i="1"/>
  <c r="C2" i="2"/>
  <c r="P38" i="1"/>
  <c r="M38" i="1"/>
  <c r="O4" i="2" l="1"/>
  <c r="S4" i="2" s="1"/>
  <c r="R4" i="2"/>
  <c r="C6" i="2"/>
  <c r="Q39" i="1"/>
  <c r="E3" i="2"/>
  <c r="D3" i="2"/>
  <c r="C5" i="2"/>
  <c r="Q38" i="1"/>
  <c r="E2" i="2"/>
  <c r="D2" i="2"/>
  <c r="E7" i="2"/>
  <c r="D7" i="2"/>
  <c r="P4" i="2"/>
  <c r="M4" i="2"/>
  <c r="T4" i="2"/>
  <c r="J4" i="2"/>
  <c r="G47" i="1" s="1"/>
  <c r="I4" i="2"/>
  <c r="F47" i="1" s="1"/>
  <c r="H4" i="2"/>
  <c r="E47" i="1" s="1"/>
  <c r="G4" i="2"/>
  <c r="D47" i="1" s="1"/>
  <c r="Q4" i="2" l="1"/>
  <c r="Y4" i="2" s="1"/>
  <c r="W4" i="2"/>
  <c r="V4" i="2"/>
  <c r="AB7" i="2"/>
  <c r="C50" i="1" s="1"/>
  <c r="L7" i="2"/>
  <c r="N7" i="2"/>
  <c r="N2" i="2"/>
  <c r="AB2" i="2"/>
  <c r="C45" i="1" s="1"/>
  <c r="L2" i="2"/>
  <c r="U4" i="2"/>
  <c r="F2" i="2"/>
  <c r="AC2" i="2" s="1"/>
  <c r="J45" i="1" s="1"/>
  <c r="H45" i="1"/>
  <c r="H50" i="1"/>
  <c r="F7" i="2"/>
  <c r="AC7" i="2" s="1"/>
  <c r="J50" i="1" s="1"/>
  <c r="H46" i="1"/>
  <c r="F3" i="2"/>
  <c r="AB3" i="2"/>
  <c r="C46" i="1" s="1"/>
  <c r="L3" i="2"/>
  <c r="N3" i="2"/>
  <c r="E5" i="2"/>
  <c r="D5" i="2"/>
  <c r="K4" i="2"/>
  <c r="AA4" i="2" s="1"/>
  <c r="E6" i="2"/>
  <c r="D6" i="2"/>
  <c r="X4" i="2"/>
  <c r="Z4" i="2" l="1"/>
  <c r="R2" i="2"/>
  <c r="O2" i="2"/>
  <c r="S2" i="2" s="1"/>
  <c r="X2" i="2" s="1"/>
  <c r="R3" i="2"/>
  <c r="O3" i="2"/>
  <c r="S3" i="2" s="1"/>
  <c r="X3" i="2" s="1"/>
  <c r="R7" i="2"/>
  <c r="O7" i="2"/>
  <c r="S7" i="2" s="1"/>
  <c r="X7" i="2" s="1"/>
  <c r="H48" i="1"/>
  <c r="F5" i="2"/>
  <c r="AC5" i="2" s="1"/>
  <c r="J48" i="1" s="1"/>
  <c r="N5" i="2"/>
  <c r="AB5" i="2"/>
  <c r="C48" i="1" s="1"/>
  <c r="L5" i="2"/>
  <c r="M3" i="2"/>
  <c r="U3" i="2"/>
  <c r="T3" i="2"/>
  <c r="P3" i="2"/>
  <c r="M7" i="2"/>
  <c r="T7" i="2"/>
  <c r="P7" i="2"/>
  <c r="I2" i="2"/>
  <c r="F45" i="1" s="1"/>
  <c r="H2" i="2"/>
  <c r="E45" i="1" s="1"/>
  <c r="G2" i="2"/>
  <c r="D45" i="1" s="1"/>
  <c r="J2" i="2"/>
  <c r="G45" i="1" s="1"/>
  <c r="U2" i="2"/>
  <c r="T2" i="2"/>
  <c r="P2" i="2"/>
  <c r="M2" i="2"/>
  <c r="F6" i="2"/>
  <c r="AC6" i="2" s="1"/>
  <c r="J49" i="1" s="1"/>
  <c r="H49" i="1"/>
  <c r="J3" i="2"/>
  <c r="G46" i="1" s="1"/>
  <c r="I3" i="2"/>
  <c r="F46" i="1" s="1"/>
  <c r="H3" i="2"/>
  <c r="E46" i="1" s="1"/>
  <c r="G3" i="2"/>
  <c r="D46" i="1" s="1"/>
  <c r="N40" i="1"/>
  <c r="I47" i="1"/>
  <c r="AC3" i="2"/>
  <c r="J46" i="1" s="1"/>
  <c r="N6" i="2"/>
  <c r="AB6" i="2"/>
  <c r="C49" i="1" s="1"/>
  <c r="L6" i="2"/>
  <c r="J7" i="2"/>
  <c r="G50" i="1" s="1"/>
  <c r="I7" i="2"/>
  <c r="F50" i="1" s="1"/>
  <c r="H7" i="2"/>
  <c r="E50" i="1" s="1"/>
  <c r="G7" i="2"/>
  <c r="D50" i="1" s="1"/>
  <c r="W2" i="2" l="1"/>
  <c r="V2" i="2"/>
  <c r="Q2" i="2"/>
  <c r="Y2" i="2" s="1"/>
  <c r="Z2" i="2" s="1"/>
  <c r="T5" i="2"/>
  <c r="P5" i="2"/>
  <c r="M5" i="2"/>
  <c r="R6" i="2"/>
  <c r="O6" i="2"/>
  <c r="S6" i="2" s="1"/>
  <c r="K2" i="2"/>
  <c r="AA2" i="2" s="1"/>
  <c r="R5" i="2"/>
  <c r="O5" i="2"/>
  <c r="S5" i="2" s="1"/>
  <c r="J5" i="2"/>
  <c r="G48" i="1" s="1"/>
  <c r="I5" i="2"/>
  <c r="F48" i="1" s="1"/>
  <c r="H5" i="2"/>
  <c r="E48" i="1" s="1"/>
  <c r="G5" i="2"/>
  <c r="D48" i="1" s="1"/>
  <c r="V3" i="2"/>
  <c r="W3" i="2"/>
  <c r="Q3" i="2"/>
  <c r="Y3" i="2" s="1"/>
  <c r="K7" i="2"/>
  <c r="AA7" i="2" s="1"/>
  <c r="O40" i="1"/>
  <c r="B58" i="1" s="1"/>
  <c r="U7" i="2"/>
  <c r="I6" i="2"/>
  <c r="F49" i="1" s="1"/>
  <c r="H6" i="2"/>
  <c r="E49" i="1" s="1"/>
  <c r="G6" i="2"/>
  <c r="D49" i="1" s="1"/>
  <c r="J6" i="2"/>
  <c r="G49" i="1" s="1"/>
  <c r="T6" i="2"/>
  <c r="P6" i="2"/>
  <c r="M6" i="2"/>
  <c r="W7" i="2"/>
  <c r="V7" i="2"/>
  <c r="Q7" i="2"/>
  <c r="Y7" i="2" s="1"/>
  <c r="K3" i="2"/>
  <c r="AA3" i="2" s="1"/>
  <c r="Z7" i="2" l="1"/>
  <c r="Z3" i="2"/>
  <c r="X6" i="2"/>
  <c r="K6" i="2"/>
  <c r="AA6" i="2" s="1"/>
  <c r="I50" i="1"/>
  <c r="R40" i="1"/>
  <c r="Q5" i="2"/>
  <c r="Y5" i="2" s="1"/>
  <c r="W5" i="2"/>
  <c r="V5" i="2"/>
  <c r="K5" i="2"/>
  <c r="AA5" i="2" s="1"/>
  <c r="N38" i="1"/>
  <c r="I45" i="1"/>
  <c r="W6" i="2"/>
  <c r="V6" i="2"/>
  <c r="Q6" i="2"/>
  <c r="Y6" i="2" s="1"/>
  <c r="U5" i="2"/>
  <c r="Z5" i="2" s="1"/>
  <c r="I46" i="1"/>
  <c r="N39" i="1"/>
  <c r="X5" i="2"/>
  <c r="U6" i="2"/>
  <c r="Z6" i="2" l="1"/>
  <c r="I48" i="1"/>
  <c r="R38" i="1"/>
  <c r="B61" i="1"/>
  <c r="S40" i="1"/>
  <c r="O38" i="1"/>
  <c r="B57" i="1" s="1"/>
  <c r="R39" i="1"/>
  <c r="I49" i="1"/>
  <c r="O39" i="1"/>
  <c r="B59" i="1" s="1"/>
  <c r="S38" i="1" l="1"/>
  <c r="B60" i="1" s="1"/>
  <c r="S39" i="1"/>
  <c r="B6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расчёт</author>
  </authors>
  <commentList>
    <comment ref="E1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По умолчанию жителей = комнат + 1 (как у преподавателя: 2-к — 3 чел., 3-к — 4 чел.). Если в задании другое — впишите число поверх формулы.</t>
        </r>
      </text>
    </comment>
    <comment ref="F1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Квартира с ванной: мойка, умывальник, ванна, унитаз — 4 прибора с холодной водой, из них 3 с горячей (унитаз — только холодная).</t>
        </r>
      </text>
    </comment>
    <comment ref="E3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В табл. А.2 q_0 и q_0,hr холодной и горячей воды — одна графа («холодной или горячей»).</t>
        </r>
      </text>
    </comment>
  </commentList>
</comments>
</file>

<file path=xl/sharedStrings.xml><?xml version="1.0" encoding="utf-8"?>
<sst xmlns="http://schemas.openxmlformats.org/spreadsheetml/2006/main" count="152" uniqueCount="134">
  <si>
    <t>Расчёт расходов воды по СП 30.13330.2020 (п. 5, табл. А.2, Б.1, Б.2)</t>
  </si>
  <si>
    <t>Вписывайте данные только в жёлтые ячейки. Голубые — нормы из табл. А.2, подставляются сами по виду здания (можно исправить вручную). Зелёные — α по табл. Б.2/Б.1 и результаты. Ниже, в разделе 7, — запись решения с подставленными числами.</t>
  </si>
  <si>
    <t>1. Исходные данные</t>
  </si>
  <si>
    <t>Число этажей, n_эт</t>
  </si>
  <si>
    <t>Число секций (квартиры ниже — на этаже одной секции)</t>
  </si>
  <si>
    <t>Заселённость, чел./кв. — если дана в задании (иначе оставить пустой: U считается по типам квартир)</t>
  </si>
  <si>
    <t>Вид жилого здания (табл. А.2 СП 30.13330.2020) — выбрать из списка</t>
  </si>
  <si>
    <t>с ваннами длиной 1500–1700 мм, оборудованными душами</t>
  </si>
  <si>
    <t>Как брать α по табл. Б.2 — выбрать из списка</t>
  </si>
  <si>
    <t>интерполяция</t>
  </si>
  <si>
    <t>интерполяция — как в таблице преподавателя; «ближайшее меньшее» — как в примерах методички 2024</t>
  </si>
  <si>
    <t>2. Квартиры на этаже (в одной секции)</t>
  </si>
  <si>
    <t>Тип квартиры</t>
  </si>
  <si>
    <t>Квартир на этаже, n_кв</t>
  </si>
  <si>
    <t>Комнат, K</t>
  </si>
  <si>
    <t>Жителей в квартире, N_кв.жит (= K + 1)</t>
  </si>
  <si>
    <t>Приборов в квартире всего, n_пр (ХВС)</t>
  </si>
  <si>
    <t>из них с горячей водой (ГВС)</t>
  </si>
  <si>
    <t>Жителей на этаже</t>
  </si>
  <si>
    <t>Приборов ХВС на этаже</t>
  </si>
  <si>
    <t>Приборов ГВС на этаже</t>
  </si>
  <si>
    <t>1-комнатная</t>
  </si>
  <si>
    <t>2-комнатная</t>
  </si>
  <si>
    <t>3-комнатная</t>
  </si>
  <si>
    <t>4-комнатная</t>
  </si>
  <si>
    <t>другая</t>
  </si>
  <si>
    <t>Итого на этаже секции</t>
  </si>
  <si>
    <t>3. Число водопотребителей U и приборов N</t>
  </si>
  <si>
    <t>Задано в задании</t>
  </si>
  <si>
    <t>U по типам квартир = Σ(N_кв.жит · n_кв) · n_эт · n_сек, чел.</t>
  </si>
  <si>
    <t>U по заселённости = заселённость · n_кв · n_эт · n_сек, чел.</t>
  </si>
  <si>
    <t>U, принятое в расчёте (задано; иначе по заселённости — округление вверх), чел.</t>
  </si>
  <si>
    <t>← если U, N, N_h даны в задании готовыми числами — вписать сюда (разделы 1–2 тогда не нужны); N_h пусто — принимается равным N</t>
  </si>
  <si>
    <t>N — приборов с холодной водой (ХВС) = Σ(n_пр · n_кв) · n_эт · n_сек, шт.</t>
  </si>
  <si>
    <t>N_h — приборов с горячей водой (ГВС), шт.</t>
  </si>
  <si>
    <t>4. Нормы водопотребления по табл. А.2 СП 30.13330.2020 (на 1 жителя / на 1 прибор)</t>
  </si>
  <si>
    <t>Норма</t>
  </si>
  <si>
    <t>tot (общий)</t>
  </si>
  <si>
    <t>h (горячей)</t>
  </si>
  <si>
    <t>c (холодной)</t>
  </si>
  <si>
    <t>ед. изм.</t>
  </si>
  <si>
    <t>q_u — расход в сутки наибольшего водопотребления</t>
  </si>
  <si>
    <t>л/сут</t>
  </si>
  <si>
    <t>q_hr,u — расход в час наибольшего водопотребления</t>
  </si>
  <si>
    <t>л/ч</t>
  </si>
  <si>
    <t>q_0 — секундный расход воды прибором</t>
  </si>
  <si>
    <t>л/с</t>
  </si>
  <si>
    <t>q_0,hr — часовой расход воды прибором</t>
  </si>
  <si>
    <t>T — время водопотребления</t>
  </si>
  <si>
    <t>ч</t>
  </si>
  <si>
    <t>q_u^c = q_u^tot − q_u^h; q_hr,u^c = q_hr,u^tot − q_hr,u^h; q_0^c = q_0^h; q_0,hr^c = q_0,hr^h (табл. А.2). Нормы можно вписать вручную поверх голубых ячеек.</t>
  </si>
  <si>
    <t>5. Расчёт расходов воды (п. 5 СП 30.13330.2020)</t>
  </si>
  <si>
    <t>T, ч</t>
  </si>
  <si>
    <t>U, чел.</t>
  </si>
  <si>
    <t>N, шт.</t>
  </si>
  <si>
    <t>q_u, л/сут</t>
  </si>
  <si>
    <t>q_hr,u, л/ч</t>
  </si>
  <si>
    <t>q_0, л/с</t>
  </si>
  <si>
    <t>q_0,hr, л/ч</t>
  </si>
  <si>
    <t>q_u,m — сут., м³/сут</t>
  </si>
  <si>
    <t>q_T — ср.-час., м³/ч</t>
  </si>
  <si>
    <t>P</t>
  </si>
  <si>
    <t>NP</t>
  </si>
  <si>
    <t>α</t>
  </si>
  <si>
    <t>q — сек., л/с</t>
  </si>
  <si>
    <t>P_hr</t>
  </si>
  <si>
    <t>NP_hr</t>
  </si>
  <si>
    <t>α_hr</t>
  </si>
  <si>
    <t>q_hr — час., м³/ч</t>
  </si>
  <si>
    <t>P = q_hr,u·U/(q_0·N·3600); q = 5·q_0·α; P_hr = 3600·P·q_0/q_0,hr; q_hr = 0,005·q_0,hr·α_hr; q_u,m = q_u·U/1000; q_T = q_u,m/T. Для c: q_hr,u^c = q_hr,u^tot − q_hr,u^h.</t>
  </si>
  <si>
    <t>6. Определение α: y = y₁ + (x − x₁)·(y₂ − y₁)/(x₂ − x₁)  (при P &gt; 0,1 и N ≤ 200 — по табл. Б.1)</t>
  </si>
  <si>
    <t>Случай</t>
  </si>
  <si>
    <t>Таблица</t>
  </si>
  <si>
    <t>NP₁ (x₁)</t>
  </si>
  <si>
    <t>α₁ (y₁)</t>
  </si>
  <si>
    <t>NP₂ (x₂)</t>
  </si>
  <si>
    <t>α₂ (y₂)</t>
  </si>
  <si>
    <t>NP (x)</t>
  </si>
  <si>
    <t>α (y)</t>
  </si>
  <si>
    <t>Примечание</t>
  </si>
  <si>
    <t>секундный tot</t>
  </si>
  <si>
    <t>секундный h</t>
  </si>
  <si>
    <t>секундный c</t>
  </si>
  <si>
    <t>часовой tot</t>
  </si>
  <si>
    <t>часовой h</t>
  </si>
  <si>
    <t>часовой c</t>
  </si>
  <si>
    <t>7. Запись решения (с подставленными числами — переписать в работу)</t>
  </si>
  <si>
    <t>Пример заполнения — данные с занятия (12 этажей, по 4 двух- и трёхкомнатных квартиры, заселённость 3,4 чел./кв., дом с ваннами 1500–1700 мм): U = 327 чел., N = 384, N_h = 288. Для контрольной — заменить жёлтые ячейки своими данными.</t>
  </si>
  <si>
    <t>N</t>
  </si>
  <si>
    <t>по Б.1?</t>
  </si>
  <si>
    <t>i (Б.2)</t>
  </si>
  <si>
    <t>NP1</t>
  </si>
  <si>
    <t>α1</t>
  </si>
  <si>
    <t>NP2</t>
  </si>
  <si>
    <t>α2</t>
  </si>
  <si>
    <t>α по Б.2</t>
  </si>
  <si>
    <t>r (Б.1)</t>
  </si>
  <si>
    <t>r2</t>
  </si>
  <si>
    <t>c (Б.1)</t>
  </si>
  <si>
    <t>c2</t>
  </si>
  <si>
    <t>N1</t>
  </si>
  <si>
    <t>N2</t>
  </si>
  <si>
    <t>P1</t>
  </si>
  <si>
    <t>P2</t>
  </si>
  <si>
    <t>α11</t>
  </si>
  <si>
    <t>α12</t>
  </si>
  <si>
    <t>α21</t>
  </si>
  <si>
    <t>α22</t>
  </si>
  <si>
    <t>tP</t>
  </si>
  <si>
    <t>tN</t>
  </si>
  <si>
    <t>α по Б.1</t>
  </si>
  <si>
    <t>табл.</t>
  </si>
  <si>
    <t>примечание</t>
  </si>
  <si>
    <t>Вспомогательный лист: подбор α по табл. Б.2 (интерполяция или ближайшее меньшее) и Б.1 (двойная интерполяция по N и P).</t>
  </si>
  <si>
    <t>Табл. Б.2 СП 30.13330.2020: α при P ≤ 0,1 и любом N, а также при P &gt; 0,1 и N &gt; 200 (NP &lt; 0,015 → α = 0,2)</t>
  </si>
  <si>
    <t>Табл. Б.1 СП 30.13330.2020: α при P &gt; 0,1 и N ≤ 200 (строки — N, столбцы — P)</t>
  </si>
  <si>
    <t>N \ P</t>
  </si>
  <si>
    <t>Табл. А.2 СП 30.13330.2020, п. 1 «Жилые здания квартирного типа» — нормы на 1 жителя</t>
  </si>
  <si>
    <t>Жилые здания квартирного типа</t>
  </si>
  <si>
    <t>q_u tot, л/сут</t>
  </si>
  <si>
    <t>q_u h, л/сут</t>
  </si>
  <si>
    <t>q_hr,u tot, л/ч</t>
  </si>
  <si>
    <t>q_hr,u h, л/ч</t>
  </si>
  <si>
    <t>q_0 tot, л/с</t>
  </si>
  <si>
    <t>q_0 (c, h), л/с</t>
  </si>
  <si>
    <t>q_0,hr tot, л/ч</t>
  </si>
  <si>
    <t>q_0,hr (c, h), л/ч</t>
  </si>
  <si>
    <t>с водопроводом и канализацией без ванн</t>
  </si>
  <si>
    <t>с ваннами и водонагревателями на твёрдом топливе</t>
  </si>
  <si>
    <t>с ваннами и газовыми водонагревателями</t>
  </si>
  <si>
    <t>с ЦГВ, с умывальниками, мойками и душами</t>
  </si>
  <si>
    <t>с сидячими ваннами, оборудованными душами</t>
  </si>
  <si>
    <t>свои значения (вписать в эту строку)</t>
  </si>
  <si>
    <t>Источник: СП 30.13330.2020, прил. А, табл. А.2 (значения сверены с методическими указаниями НИУ МГСУ 2024). Для другого вида здания впишите нормы в строку «свои значения» и выберите её на листе «Расчёт».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</si>
</sst>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##"/>
    <numFmt numFmtId="165" formatCode="0;\-0;&quot;&quot;"/>
    <numFmt numFmtId="166" formatCode="0.0##;\-0;&quot;&quot;"/>
    <numFmt numFmtId="167" formatCode="0.000"/>
    <numFmt numFmtId="168" formatCode="0.00000"/>
  </numFmts>
  <fonts count="7" x14ac:knownFonts="1">
    <font>
      <sz val="11"/>
      <color theme="1"/>
      <name val="Calibri"/>
      <family val="2"/>
      <scheme val="minor"/>
    </font>
    <font>
      <b/>
      <sz val="15"/>
      <name val="Times New Roman"/>
    </font>
    <font>
      <i/>
      <sz val="10"/>
      <color rgb="FF595959"/>
      <name val="Times New Roman"/>
    </font>
    <font>
      <b/>
      <sz val="13"/>
      <name val="Times New Roman"/>
    </font>
    <font>
      <sz val="12"/>
      <name val="Times New Roman"/>
    </font>
    <font>
      <b/>
      <sz val="12"/>
      <name val="Times New Roman"/>
    </font>
    <font>
      <sz val="12"/>
      <color rgb="FF0000FF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2A8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165" fontId="4" fillId="2" borderId="1" xfId="0" applyNumberFormat="1" applyFont="1" applyFill="1" applyBorder="1" applyAlignment="1">
      <alignment horizontal="center" vertical="center" wrapText="1"/>
    </xf>
    <xf numFmtId="166" fontId="4" fillId="2" borderId="1" xfId="0" applyNumberFormat="1" applyFont="1" applyFill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" fontId="5" fillId="4" borderId="1" xfId="0" applyNumberFormat="1" applyFont="1" applyFill="1" applyBorder="1" applyAlignment="1">
      <alignment horizontal="center" vertical="center" wrapText="1"/>
    </xf>
    <xf numFmtId="164" fontId="6" fillId="5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center" vertical="center" wrapText="1"/>
    </xf>
    <xf numFmtId="168" fontId="4" fillId="0" borderId="1" xfId="0" applyNumberFormat="1" applyFont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167" fontId="4" fillId="6" borderId="1" xfId="0" applyNumberFormat="1" applyFont="1" applyFill="1" applyBorder="1" applyAlignment="1">
      <alignment horizontal="center" vertical="center" wrapText="1"/>
    </xf>
    <xf numFmtId="167" fontId="5" fillId="6" borderId="1" xfId="0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0" fontId="4" fillId="0" borderId="0" xfId="0" applyFont="1"/>
    <xf numFmtId="0" fontId="2" fillId="0" borderId="0" xfId="0" applyFont="1"/>
    <xf numFmtId="0" fontId="5" fillId="0" borderId="0" xfId="0" applyFont="1"/>
    <xf numFmtId="0" fontId="5" fillId="3" borderId="0" xfId="0" applyFont="1" applyFill="1" applyAlignment="1">
      <alignment horizontal="center" vertical="center" wrapText="1"/>
    </xf>
    <xf numFmtId="0" fontId="4" fillId="0" borderId="1" xfId="0" applyFont="1" applyBorder="1"/>
    <xf numFmtId="0" fontId="4" fillId="2" borderId="1" xfId="0" applyFont="1" applyFill="1" applyBorder="1"/>
    <xf numFmtId="0" fontId="2" fillId="0" borderId="0" xfId="0" applyFont="1" applyAlignment="1">
      <alignment horizontal="left" vertical="center" wrapText="1"/>
    </xf>
    <xf numFmtId="0" fontId="0" fillId="0" borderId="0" xfId="0"/>
    <xf numFmtId="0" fontId="4" fillId="2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2" fillId="0" borderId="1" xfId="0" applyFont="1" applyBorder="1" applyAlignment="1">
      <alignment horizontal="center" vertical="center" wrapText="1"/>
    </xf>
    <xf numFmtId="0" fontId="0" fillId="0" borderId="3" xfId="0" applyBorder="1"/>
    <xf numFmtId="0" fontId="0" fillId="0" borderId="2" xfId="0" applyBorder="1"/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64"/>
  <sheetViews>
    <sheetView tabSelected="1" zoomScale="90" workbookViewId="0">
      <pane xSplit="2" ySplit="3" topLeftCell="C4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" customWidth="1"/>
    <col min="2" max="2" width="58" customWidth="1"/>
    <col min="3" max="10" width="13" customWidth="1"/>
    <col min="11" max="11" width="12" customWidth="1"/>
    <col min="12" max="18" width="11" customWidth="1"/>
    <col min="19" max="19" width="12" customWidth="1"/>
  </cols>
  <sheetData>
    <row r="1" spans="2:19" x14ac:dyDescent="0.3">
      <c r="B1" s="39" t="s">
        <v>0</v>
      </c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</row>
    <row r="2" spans="2:19" ht="30" customHeight="1" x14ac:dyDescent="0.3">
      <c r="B2" s="31" t="s">
        <v>1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</row>
    <row r="4" spans="2:19" ht="16.8" x14ac:dyDescent="0.3">
      <c r="B4" s="1" t="s">
        <v>2</v>
      </c>
    </row>
    <row r="5" spans="2:19" ht="15.6" x14ac:dyDescent="0.3">
      <c r="B5" s="2" t="s">
        <v>3</v>
      </c>
      <c r="C5" s="3">
        <v>12</v>
      </c>
    </row>
    <row r="6" spans="2:19" ht="15.6" x14ac:dyDescent="0.3">
      <c r="B6" s="2" t="s">
        <v>4</v>
      </c>
      <c r="C6" s="3">
        <v>1</v>
      </c>
    </row>
    <row r="7" spans="2:19" ht="31.2" x14ac:dyDescent="0.3">
      <c r="B7" s="2" t="s">
        <v>5</v>
      </c>
      <c r="C7" s="4">
        <v>3.4</v>
      </c>
    </row>
    <row r="8" spans="2:19" ht="31.2" x14ac:dyDescent="0.3">
      <c r="B8" s="2" t="s">
        <v>6</v>
      </c>
      <c r="C8" s="33" t="s">
        <v>7</v>
      </c>
      <c r="D8" s="34"/>
      <c r="E8" s="34"/>
      <c r="F8" s="34"/>
      <c r="G8" s="34"/>
      <c r="H8" s="34"/>
      <c r="I8" s="34"/>
    </row>
    <row r="9" spans="2:19" ht="15.6" x14ac:dyDescent="0.3">
      <c r="B9" s="2" t="s">
        <v>8</v>
      </c>
      <c r="C9" s="33" t="s">
        <v>9</v>
      </c>
      <c r="D9" s="37"/>
      <c r="E9" s="31" t="s">
        <v>10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1" spans="2:19" ht="16.8" x14ac:dyDescent="0.3">
      <c r="B11" s="1" t="s">
        <v>11</v>
      </c>
    </row>
    <row r="12" spans="2:19" ht="64.05" customHeight="1" x14ac:dyDescent="0.3">
      <c r="B12" s="6" t="s">
        <v>12</v>
      </c>
      <c r="C12" s="6" t="s">
        <v>13</v>
      </c>
      <c r="D12" s="6" t="s">
        <v>14</v>
      </c>
      <c r="E12" s="6" t="s">
        <v>15</v>
      </c>
      <c r="F12" s="6" t="s">
        <v>16</v>
      </c>
      <c r="G12" s="6" t="s">
        <v>17</v>
      </c>
      <c r="H12" s="6" t="s">
        <v>18</v>
      </c>
      <c r="I12" s="6" t="s">
        <v>19</v>
      </c>
      <c r="J12" s="6" t="s">
        <v>20</v>
      </c>
    </row>
    <row r="13" spans="2:19" ht="15.6" x14ac:dyDescent="0.3">
      <c r="B13" s="5" t="s">
        <v>21</v>
      </c>
      <c r="C13" s="7"/>
      <c r="D13" s="7">
        <v>1</v>
      </c>
      <c r="E13" s="8">
        <f>IF(OR(C13="",D13=""),0,D13+1)</f>
        <v>0</v>
      </c>
      <c r="F13" s="7"/>
      <c r="G13" s="7"/>
      <c r="H13" s="9">
        <f>C13*E13</f>
        <v>0</v>
      </c>
      <c r="I13" s="10">
        <f>C13*F13</f>
        <v>0</v>
      </c>
      <c r="J13" s="10">
        <f>C13*G13</f>
        <v>0</v>
      </c>
    </row>
    <row r="14" spans="2:19" ht="15.6" x14ac:dyDescent="0.3">
      <c r="B14" s="5" t="s">
        <v>22</v>
      </c>
      <c r="C14" s="7">
        <v>4</v>
      </c>
      <c r="D14" s="7">
        <v>2</v>
      </c>
      <c r="E14" s="8">
        <f>IF(OR(C14="",D14=""),0,D14+1)</f>
        <v>3</v>
      </c>
      <c r="F14" s="7">
        <v>4</v>
      </c>
      <c r="G14" s="7">
        <v>3</v>
      </c>
      <c r="H14" s="9">
        <f>C14*E14</f>
        <v>12</v>
      </c>
      <c r="I14" s="10">
        <f>C14*F14</f>
        <v>16</v>
      </c>
      <c r="J14" s="10">
        <f>C14*G14</f>
        <v>12</v>
      </c>
    </row>
    <row r="15" spans="2:19" ht="15.6" x14ac:dyDescent="0.3">
      <c r="B15" s="5" t="s">
        <v>23</v>
      </c>
      <c r="C15" s="7">
        <v>4</v>
      </c>
      <c r="D15" s="7">
        <v>3</v>
      </c>
      <c r="E15" s="8">
        <f>IF(OR(C15="",D15=""),0,D15+1)</f>
        <v>4</v>
      </c>
      <c r="F15" s="7">
        <v>4</v>
      </c>
      <c r="G15" s="7">
        <v>3</v>
      </c>
      <c r="H15" s="9">
        <f>C15*E15</f>
        <v>16</v>
      </c>
      <c r="I15" s="10">
        <f>C15*F15</f>
        <v>16</v>
      </c>
      <c r="J15" s="10">
        <f>C15*G15</f>
        <v>12</v>
      </c>
    </row>
    <row r="16" spans="2:19" ht="15.6" x14ac:dyDescent="0.3">
      <c r="B16" s="5" t="s">
        <v>24</v>
      </c>
      <c r="C16" s="7"/>
      <c r="D16" s="7">
        <v>4</v>
      </c>
      <c r="E16" s="8">
        <f>IF(OR(C16="",D16=""),0,D16+1)</f>
        <v>0</v>
      </c>
      <c r="F16" s="7"/>
      <c r="G16" s="7"/>
      <c r="H16" s="9">
        <f>C16*E16</f>
        <v>0</v>
      </c>
      <c r="I16" s="10">
        <f>C16*F16</f>
        <v>0</v>
      </c>
      <c r="J16" s="10">
        <f>C16*G16</f>
        <v>0</v>
      </c>
    </row>
    <row r="17" spans="2:19" ht="15.6" x14ac:dyDescent="0.3">
      <c r="B17" s="5" t="s">
        <v>25</v>
      </c>
      <c r="C17" s="7"/>
      <c r="D17" s="7"/>
      <c r="E17" s="8">
        <f>IF(OR(C17="",D17=""),0,D17+1)</f>
        <v>0</v>
      </c>
      <c r="F17" s="7"/>
      <c r="G17" s="7"/>
      <c r="H17" s="9">
        <f>C17*E17</f>
        <v>0</v>
      </c>
      <c r="I17" s="10">
        <f>C17*F17</f>
        <v>0</v>
      </c>
      <c r="J17" s="10">
        <f>C17*G17</f>
        <v>0</v>
      </c>
    </row>
    <row r="18" spans="2:19" ht="15.6" x14ac:dyDescent="0.3">
      <c r="B18" s="11" t="s">
        <v>26</v>
      </c>
      <c r="C18" s="12">
        <f>SUM(C13:C17)</f>
        <v>8</v>
      </c>
      <c r="H18" s="13">
        <f>SUM(H13:H17)</f>
        <v>28</v>
      </c>
      <c r="I18" s="12">
        <f>SUM(I13:I17)</f>
        <v>32</v>
      </c>
      <c r="J18" s="12">
        <f>SUM(J13:J17)</f>
        <v>24</v>
      </c>
    </row>
    <row r="20" spans="2:19" ht="31.2" x14ac:dyDescent="0.3">
      <c r="B20" s="1" t="s">
        <v>27</v>
      </c>
      <c r="D20" s="6" t="s">
        <v>28</v>
      </c>
    </row>
    <row r="21" spans="2:19" ht="31.2" x14ac:dyDescent="0.3">
      <c r="B21" s="2" t="s">
        <v>29</v>
      </c>
      <c r="C21" s="14">
        <f>H18*C5*C6</f>
        <v>336</v>
      </c>
    </row>
    <row r="22" spans="2:19" ht="31.2" x14ac:dyDescent="0.3">
      <c r="B22" s="2" t="s">
        <v>30</v>
      </c>
      <c r="C22" s="14">
        <f>IF(C7="","",C7*C18*C5*C6)</f>
        <v>326.39999999999998</v>
      </c>
    </row>
    <row r="23" spans="2:19" ht="31.2" x14ac:dyDescent="0.3">
      <c r="B23" s="11" t="s">
        <v>31</v>
      </c>
      <c r="C23" s="15">
        <f>IF(D23&lt;&gt;"",D23,IF(C7="",C21,ROUNDUP(C22,0)))</f>
        <v>288</v>
      </c>
      <c r="D23" s="7">
        <v>288</v>
      </c>
      <c r="E23" s="31" t="s">
        <v>32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</row>
    <row r="24" spans="2:19" ht="31.2" x14ac:dyDescent="0.3">
      <c r="B24" s="11" t="s">
        <v>33</v>
      </c>
      <c r="C24" s="15">
        <f>IF(D24&lt;&gt;"",D24,I18*C5*C6)</f>
        <v>316</v>
      </c>
      <c r="D24" s="7">
        <v>316</v>
      </c>
    </row>
    <row r="25" spans="2:19" ht="15.6" x14ac:dyDescent="0.3">
      <c r="B25" s="11" t="s">
        <v>34</v>
      </c>
      <c r="C25" s="15">
        <f>IF(D25&lt;&gt;"",D25,IF(D24&lt;&gt;"",D24,J18*C5*C6))</f>
        <v>316</v>
      </c>
      <c r="D25" s="7"/>
    </row>
    <row r="27" spans="2:19" ht="16.8" x14ac:dyDescent="0.3">
      <c r="B27" s="1" t="s">
        <v>35</v>
      </c>
    </row>
    <row r="28" spans="2:19" ht="31.2" x14ac:dyDescent="0.3">
      <c r="B28" s="6" t="s">
        <v>36</v>
      </c>
      <c r="C28" s="6" t="s">
        <v>37</v>
      </c>
      <c r="D28" s="6" t="s">
        <v>38</v>
      </c>
      <c r="E28" s="6" t="s">
        <v>39</v>
      </c>
      <c r="F28" s="6" t="s">
        <v>40</v>
      </c>
    </row>
    <row r="29" spans="2:19" ht="15.6" x14ac:dyDescent="0.3">
      <c r="B29" s="2" t="s">
        <v>41</v>
      </c>
      <c r="C29" s="16">
        <f>INDEX(A2_B,MATCH($C$8,A2_IMYA,0))</f>
        <v>180</v>
      </c>
      <c r="D29" s="16">
        <f>INDEX(A2_C,MATCH($C$8,A2_IMYA,0))</f>
        <v>70</v>
      </c>
      <c r="E29" s="14">
        <f>C29-D29</f>
        <v>110</v>
      </c>
      <c r="F29" s="17" t="s">
        <v>42</v>
      </c>
    </row>
    <row r="30" spans="2:19" ht="15.6" x14ac:dyDescent="0.3">
      <c r="B30" s="2" t="s">
        <v>43</v>
      </c>
      <c r="C30" s="16">
        <f>INDEX(A2_D,MATCH($C$8,A2_IMYA,0))</f>
        <v>11.6</v>
      </c>
      <c r="D30" s="16">
        <f>INDEX(A2_E,MATCH($C$8,A2_IMYA,0))</f>
        <v>6.5</v>
      </c>
      <c r="E30" s="14">
        <f>C30-D30</f>
        <v>5.0999999999999996</v>
      </c>
      <c r="F30" s="17" t="s">
        <v>44</v>
      </c>
    </row>
    <row r="31" spans="2:19" ht="15.6" x14ac:dyDescent="0.3">
      <c r="B31" s="2" t="s">
        <v>45</v>
      </c>
      <c r="C31" s="16">
        <f>INDEX(A2_F,MATCH($C$8,A2_IMYA,0))</f>
        <v>0.3</v>
      </c>
      <c r="D31" s="16">
        <f>INDEX(A2_G,MATCH($C$8,A2_IMYA,0))</f>
        <v>0.2</v>
      </c>
      <c r="E31" s="14">
        <f>D31</f>
        <v>0.2</v>
      </c>
      <c r="F31" s="17" t="s">
        <v>46</v>
      </c>
    </row>
    <row r="32" spans="2:19" ht="15.6" x14ac:dyDescent="0.3">
      <c r="B32" s="2" t="s">
        <v>47</v>
      </c>
      <c r="C32" s="16">
        <f>INDEX(A2_H,MATCH($C$8,A2_IMYA,0))</f>
        <v>300</v>
      </c>
      <c r="D32" s="16">
        <f>INDEX(A2_I,MATCH($C$8,A2_IMYA,0))</f>
        <v>200</v>
      </c>
      <c r="E32" s="14">
        <f>D32</f>
        <v>200</v>
      </c>
      <c r="F32" s="17" t="s">
        <v>44</v>
      </c>
    </row>
    <row r="33" spans="2:19" ht="15.6" x14ac:dyDescent="0.3">
      <c r="B33" s="2" t="s">
        <v>48</v>
      </c>
      <c r="C33" s="16">
        <f>INDEX(A2_J,MATCH($C$8,A2_IMYA,0))</f>
        <v>24</v>
      </c>
      <c r="D33" s="16">
        <f>INDEX(A2_J,MATCH($C$8,A2_IMYA,0))</f>
        <v>24</v>
      </c>
      <c r="E33" s="14">
        <f>D33</f>
        <v>24</v>
      </c>
      <c r="F33" s="17" t="s">
        <v>49</v>
      </c>
    </row>
    <row r="34" spans="2:19" x14ac:dyDescent="0.3">
      <c r="B34" s="31" t="s">
        <v>50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</row>
    <row r="36" spans="2:19" ht="16.8" x14ac:dyDescent="0.3">
      <c r="B36" s="1" t="s">
        <v>51</v>
      </c>
    </row>
    <row r="37" spans="2:19" ht="46.05" customHeight="1" x14ac:dyDescent="0.3">
      <c r="B37" s="6"/>
      <c r="C37" s="6" t="s">
        <v>52</v>
      </c>
      <c r="D37" s="6" t="s">
        <v>53</v>
      </c>
      <c r="E37" s="6" t="s">
        <v>54</v>
      </c>
      <c r="F37" s="6" t="s">
        <v>55</v>
      </c>
      <c r="G37" s="6" t="s">
        <v>56</v>
      </c>
      <c r="H37" s="6" t="s">
        <v>57</v>
      </c>
      <c r="I37" s="6" t="s">
        <v>58</v>
      </c>
      <c r="J37" s="6" t="s">
        <v>59</v>
      </c>
      <c r="K37" s="6" t="s">
        <v>60</v>
      </c>
      <c r="L37" s="6" t="s">
        <v>61</v>
      </c>
      <c r="M37" s="6" t="s">
        <v>62</v>
      </c>
      <c r="N37" s="6" t="s">
        <v>63</v>
      </c>
      <c r="O37" s="6" t="s">
        <v>64</v>
      </c>
      <c r="P37" s="6" t="s">
        <v>65</v>
      </c>
      <c r="Q37" s="6" t="s">
        <v>66</v>
      </c>
      <c r="R37" s="6" t="s">
        <v>67</v>
      </c>
      <c r="S37" s="6" t="s">
        <v>68</v>
      </c>
    </row>
    <row r="38" spans="2:19" ht="15.6" x14ac:dyDescent="0.3">
      <c r="B38" s="11" t="s">
        <v>37</v>
      </c>
      <c r="C38" s="18">
        <f>C33</f>
        <v>24</v>
      </c>
      <c r="D38" s="18">
        <f>$C$23</f>
        <v>288</v>
      </c>
      <c r="E38" s="18">
        <f>$C$24</f>
        <v>316</v>
      </c>
      <c r="F38" s="14">
        <f>C29</f>
        <v>180</v>
      </c>
      <c r="G38" s="14">
        <f>C30</f>
        <v>11.6</v>
      </c>
      <c r="H38" s="14">
        <f>C31</f>
        <v>0.3</v>
      </c>
      <c r="I38" s="14">
        <f>C32</f>
        <v>300</v>
      </c>
      <c r="J38" s="19">
        <f>F38*D38/1000</f>
        <v>51.84</v>
      </c>
      <c r="K38" s="19">
        <f>IF(C38=0,0,J38/C38)</f>
        <v>2.16</v>
      </c>
      <c r="L38" s="20">
        <f>IF(OR(E38=0,H38=0),0,G38*D38/(H38*E38*3600))</f>
        <v>9.7890295358649786E-3</v>
      </c>
      <c r="M38" s="21">
        <f>E38*L38</f>
        <v>3.0933333333333333</v>
      </c>
      <c r="N38" s="22">
        <f>α!AA2</f>
        <v>1.8763999999999998</v>
      </c>
      <c r="O38" s="19">
        <f>IF(L38=0,0,5*H38*N38)</f>
        <v>2.8145999999999995</v>
      </c>
      <c r="P38" s="20">
        <f>IF(I38=0,0,3600*L38*H38/I38)</f>
        <v>3.5240506329113915E-2</v>
      </c>
      <c r="Q38" s="21">
        <f>E38*P38</f>
        <v>11.135999999999997</v>
      </c>
      <c r="R38" s="22">
        <f>α!AA5</f>
        <v>4.4584399999999995</v>
      </c>
      <c r="S38" s="19">
        <f>IF(P38=0,0,0.005*I38*R38)</f>
        <v>6.6876599999999993</v>
      </c>
    </row>
    <row r="39" spans="2:19" ht="15.6" x14ac:dyDescent="0.3">
      <c r="B39" s="11" t="s">
        <v>38</v>
      </c>
      <c r="C39" s="18">
        <f>D33</f>
        <v>24</v>
      </c>
      <c r="D39" s="18">
        <f>$C$23</f>
        <v>288</v>
      </c>
      <c r="E39" s="18">
        <f>$C$25</f>
        <v>316</v>
      </c>
      <c r="F39" s="14">
        <f>D29</f>
        <v>70</v>
      </c>
      <c r="G39" s="14">
        <f>D30</f>
        <v>6.5</v>
      </c>
      <c r="H39" s="14">
        <f>D31</f>
        <v>0.2</v>
      </c>
      <c r="I39" s="14">
        <f>D32</f>
        <v>200</v>
      </c>
      <c r="J39" s="19">
        <f>F39*D39/1000</f>
        <v>20.16</v>
      </c>
      <c r="K39" s="19">
        <f>IF(C39=0,0,J39/C39)</f>
        <v>0.84</v>
      </c>
      <c r="L39" s="20">
        <f>IF(OR(E39=0,H39=0),0,G39*D39/(H39*E39*3600))</f>
        <v>8.2278481012658233E-3</v>
      </c>
      <c r="M39" s="21">
        <f>E39*L39</f>
        <v>2.6</v>
      </c>
      <c r="N39" s="22">
        <f>α!AA3</f>
        <v>1.6839999999999999</v>
      </c>
      <c r="O39" s="19">
        <f>IF(L39=0,0,5*H39*N39)</f>
        <v>1.6839999999999999</v>
      </c>
      <c r="P39" s="20">
        <f>IF(I39=0,0,3600*L39*H39/I39)</f>
        <v>2.9620253164556964E-2</v>
      </c>
      <c r="Q39" s="21">
        <f>E39*P39</f>
        <v>9.3600000000000012</v>
      </c>
      <c r="R39" s="22">
        <f>α!AA6</f>
        <v>3.9360000000000004</v>
      </c>
      <c r="S39" s="19">
        <f>IF(P39=0,0,0.005*I39*R39)</f>
        <v>3.9360000000000004</v>
      </c>
    </row>
    <row r="40" spans="2:19" ht="15.6" x14ac:dyDescent="0.3">
      <c r="B40" s="11" t="s">
        <v>39</v>
      </c>
      <c r="C40" s="18">
        <f>E33</f>
        <v>24</v>
      </c>
      <c r="D40" s="18">
        <f>$C$23</f>
        <v>288</v>
      </c>
      <c r="E40" s="18">
        <f>$C$24</f>
        <v>316</v>
      </c>
      <c r="F40" s="14">
        <f>E29</f>
        <v>110</v>
      </c>
      <c r="G40" s="14">
        <f>E30</f>
        <v>5.0999999999999996</v>
      </c>
      <c r="H40" s="14">
        <f>E31</f>
        <v>0.2</v>
      </c>
      <c r="I40" s="14">
        <f>E32</f>
        <v>200</v>
      </c>
      <c r="J40" s="19">
        <f>F40*D40/1000</f>
        <v>31.68</v>
      </c>
      <c r="K40" s="19">
        <f>IF(C40=0,0,J40/C40)</f>
        <v>1.32</v>
      </c>
      <c r="L40" s="20">
        <f>IF(OR(E40=0,H40=0),0,G40*D40/(H40*E40*3600))</f>
        <v>6.4556962025316455E-3</v>
      </c>
      <c r="M40" s="21">
        <f>E40*L40</f>
        <v>2.04</v>
      </c>
      <c r="N40" s="22">
        <f>α!AA4</f>
        <v>1.4538</v>
      </c>
      <c r="O40" s="19">
        <f>IF(L40=0,0,5*H40*N40)</f>
        <v>1.4538</v>
      </c>
      <c r="P40" s="20">
        <f>IF(I40=0,0,3600*L40*H40/I40)</f>
        <v>2.3240506329113925E-2</v>
      </c>
      <c r="Q40" s="21">
        <f>E40*P40</f>
        <v>7.3440000000000003</v>
      </c>
      <c r="R40" s="22">
        <f>α!AA7</f>
        <v>3.32064</v>
      </c>
      <c r="S40" s="19">
        <f>IF(P40=0,0,0.005*I40*R40)</f>
        <v>3.32064</v>
      </c>
    </row>
    <row r="41" spans="2:19" x14ac:dyDescent="0.3">
      <c r="B41" s="31" t="s">
        <v>69</v>
      </c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</row>
    <row r="43" spans="2:19" ht="16.8" x14ac:dyDescent="0.3">
      <c r="B43" s="1" t="s">
        <v>70</v>
      </c>
    </row>
    <row r="44" spans="2:19" ht="31.2" x14ac:dyDescent="0.3">
      <c r="B44" s="6" t="s">
        <v>71</v>
      </c>
      <c r="C44" s="6" t="s">
        <v>72</v>
      </c>
      <c r="D44" s="6" t="s">
        <v>73</v>
      </c>
      <c r="E44" s="6" t="s">
        <v>74</v>
      </c>
      <c r="F44" s="6" t="s">
        <v>75</v>
      </c>
      <c r="G44" s="6" t="s">
        <v>76</v>
      </c>
      <c r="H44" s="6" t="s">
        <v>77</v>
      </c>
      <c r="I44" s="6" t="s">
        <v>78</v>
      </c>
      <c r="J44" s="6" t="s">
        <v>79</v>
      </c>
    </row>
    <row r="45" spans="2:19" ht="15.6" x14ac:dyDescent="0.3">
      <c r="B45" s="2" t="s">
        <v>80</v>
      </c>
      <c r="C45" s="17" t="str">
        <f>α!AB2</f>
        <v>Б.2</v>
      </c>
      <c r="D45" s="21">
        <f>α!G2</f>
        <v>3</v>
      </c>
      <c r="E45" s="21">
        <f>α!H2</f>
        <v>1.84</v>
      </c>
      <c r="F45" s="21">
        <f>α!I2</f>
        <v>3.1</v>
      </c>
      <c r="G45" s="21">
        <f>α!J2</f>
        <v>1.879</v>
      </c>
      <c r="H45" s="21">
        <f>α!D2</f>
        <v>3.0933333333333333</v>
      </c>
      <c r="I45" s="23">
        <f>α!AA2</f>
        <v>1.8763999999999998</v>
      </c>
      <c r="J45" s="35" t="str">
        <f>α!AC2</f>
        <v/>
      </c>
      <c r="K45" s="36"/>
      <c r="L45" s="36"/>
      <c r="M45" s="36"/>
      <c r="N45" s="36"/>
      <c r="O45" s="36"/>
      <c r="P45" s="36"/>
      <c r="Q45" s="36"/>
      <c r="R45" s="36"/>
      <c r="S45" s="37"/>
    </row>
    <row r="46" spans="2:19" ht="15.6" x14ac:dyDescent="0.3">
      <c r="B46" s="2" t="s">
        <v>81</v>
      </c>
      <c r="C46" s="17" t="str">
        <f>α!AB3</f>
        <v>Б.2</v>
      </c>
      <c r="D46" s="21">
        <f>α!G3</f>
        <v>2.6</v>
      </c>
      <c r="E46" s="21">
        <f>α!H3</f>
        <v>1.6839999999999999</v>
      </c>
      <c r="F46" s="21">
        <f>α!I3</f>
        <v>2.7</v>
      </c>
      <c r="G46" s="21">
        <f>α!J3</f>
        <v>1.724</v>
      </c>
      <c r="H46" s="21">
        <f>α!D3</f>
        <v>2.6</v>
      </c>
      <c r="I46" s="23">
        <f>α!AA3</f>
        <v>1.6839999999999999</v>
      </c>
      <c r="J46" s="35" t="str">
        <f>α!AC3</f>
        <v/>
      </c>
      <c r="K46" s="36"/>
      <c r="L46" s="36"/>
      <c r="M46" s="36"/>
      <c r="N46" s="36"/>
      <c r="O46" s="36"/>
      <c r="P46" s="36"/>
      <c r="Q46" s="36"/>
      <c r="R46" s="36"/>
      <c r="S46" s="37"/>
    </row>
    <row r="47" spans="2:19" ht="15.6" x14ac:dyDescent="0.3">
      <c r="B47" s="2" t="s">
        <v>82</v>
      </c>
      <c r="C47" s="17" t="str">
        <f>α!AB4</f>
        <v>Б.2</v>
      </c>
      <c r="D47" s="21">
        <f>α!G4</f>
        <v>2</v>
      </c>
      <c r="E47" s="21">
        <f>α!H4</f>
        <v>1.4370000000000001</v>
      </c>
      <c r="F47" s="21">
        <f>α!I4</f>
        <v>2.1</v>
      </c>
      <c r="G47" s="21">
        <f>α!J4</f>
        <v>1.4790000000000001</v>
      </c>
      <c r="H47" s="21">
        <f>α!D4</f>
        <v>2.04</v>
      </c>
      <c r="I47" s="23">
        <f>α!AA4</f>
        <v>1.4538</v>
      </c>
      <c r="J47" s="35" t="str">
        <f>α!AC4</f>
        <v/>
      </c>
      <c r="K47" s="36"/>
      <c r="L47" s="36"/>
      <c r="M47" s="36"/>
      <c r="N47" s="36"/>
      <c r="O47" s="36"/>
      <c r="P47" s="36"/>
      <c r="Q47" s="36"/>
      <c r="R47" s="36"/>
      <c r="S47" s="37"/>
    </row>
    <row r="48" spans="2:19" ht="15.6" x14ac:dyDescent="0.3">
      <c r="B48" s="2" t="s">
        <v>83</v>
      </c>
      <c r="C48" s="17" t="str">
        <f>α!AB5</f>
        <v>Б.2</v>
      </c>
      <c r="D48" s="21">
        <f>α!G5</f>
        <v>11</v>
      </c>
      <c r="E48" s="21">
        <f>α!H5</f>
        <v>4.4189999999999996</v>
      </c>
      <c r="F48" s="21">
        <f>α!I5</f>
        <v>11.2</v>
      </c>
      <c r="G48" s="21">
        <f>α!J5</f>
        <v>4.4770000000000003</v>
      </c>
      <c r="H48" s="21">
        <f>α!D5</f>
        <v>11.135999999999997</v>
      </c>
      <c r="I48" s="23">
        <f>α!AA5</f>
        <v>4.4584399999999995</v>
      </c>
      <c r="J48" s="35" t="str">
        <f>α!AC5</f>
        <v/>
      </c>
      <c r="K48" s="36"/>
      <c r="L48" s="36"/>
      <c r="M48" s="36"/>
      <c r="N48" s="36"/>
      <c r="O48" s="36"/>
      <c r="P48" s="36"/>
      <c r="Q48" s="36"/>
      <c r="R48" s="36"/>
      <c r="S48" s="37"/>
    </row>
    <row r="49" spans="2:19" ht="15.6" x14ac:dyDescent="0.3">
      <c r="B49" s="2" t="s">
        <v>84</v>
      </c>
      <c r="C49" s="17" t="str">
        <f>α!AB6</f>
        <v>Б.2</v>
      </c>
      <c r="D49" s="21">
        <f>α!G6</f>
        <v>9.3000000000000007</v>
      </c>
      <c r="E49" s="21">
        <f>α!H6</f>
        <v>3.9180000000000001</v>
      </c>
      <c r="F49" s="21">
        <f>α!I6</f>
        <v>9.4</v>
      </c>
      <c r="G49" s="21">
        <f>α!J6</f>
        <v>3.948</v>
      </c>
      <c r="H49" s="21">
        <f>α!D6</f>
        <v>9.3600000000000012</v>
      </c>
      <c r="I49" s="23">
        <f>α!AA6</f>
        <v>3.9360000000000004</v>
      </c>
      <c r="J49" s="35" t="str">
        <f>α!AC6</f>
        <v/>
      </c>
      <c r="K49" s="36"/>
      <c r="L49" s="36"/>
      <c r="M49" s="36"/>
      <c r="N49" s="36"/>
      <c r="O49" s="36"/>
      <c r="P49" s="36"/>
      <c r="Q49" s="36"/>
      <c r="R49" s="36"/>
      <c r="S49" s="37"/>
    </row>
    <row r="50" spans="2:19" ht="15.6" x14ac:dyDescent="0.3">
      <c r="B50" s="2" t="s">
        <v>85</v>
      </c>
      <c r="C50" s="17" t="str">
        <f>α!AB7</f>
        <v>Б.2</v>
      </c>
      <c r="D50" s="21">
        <f>α!G7</f>
        <v>7.3</v>
      </c>
      <c r="E50" s="21">
        <f>α!H7</f>
        <v>3.3069999999999999</v>
      </c>
      <c r="F50" s="21">
        <f>α!I7</f>
        <v>7.4</v>
      </c>
      <c r="G50" s="21">
        <f>α!J7</f>
        <v>3.3380000000000001</v>
      </c>
      <c r="H50" s="21">
        <f>α!D7</f>
        <v>7.3440000000000003</v>
      </c>
      <c r="I50" s="23">
        <f>α!AA7</f>
        <v>3.32064</v>
      </c>
      <c r="J50" s="35" t="str">
        <f>α!AC7</f>
        <v/>
      </c>
      <c r="K50" s="36"/>
      <c r="L50" s="36"/>
      <c r="M50" s="36"/>
      <c r="N50" s="36"/>
      <c r="O50" s="36"/>
      <c r="P50" s="36"/>
      <c r="Q50" s="36"/>
      <c r="R50" s="36"/>
      <c r="S50" s="37"/>
    </row>
    <row r="52" spans="2:19" ht="16.8" x14ac:dyDescent="0.3">
      <c r="B52" s="1" t="s">
        <v>86</v>
      </c>
    </row>
    <row r="53" spans="2:19" ht="34.049999999999997" customHeight="1" x14ac:dyDescent="0.3">
      <c r="B53" s="38" t="str">
        <f>IF($D$23&lt;&gt;"","U = "&amp;C23&amp;" чел. (задано)",IF($C$7="","U = Σ(N_кв.жит·n_кв)·n_эт·n_сек = "&amp;FIXED(H18,1,TRUE)&amp;"·"&amp;C5&amp;"·"&amp;C6&amp;" = "&amp;FIXED(C23,0,TRUE)&amp;" чел.","U = заселённость·n_кв·n_эт·n_сек = "&amp;FIXED(C7,2,TRUE)&amp;"·"&amp;C18&amp;"·"&amp;C5&amp;"·"&amp;C6&amp;" = "&amp;FIXED(C22,2,TRUE)&amp;" ≈ "&amp;C23&amp;" чел."))</f>
        <v>U = 288 чел. (задано)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</row>
    <row r="54" spans="2:19" ht="34.049999999999997" customHeight="1" x14ac:dyDescent="0.3">
      <c r="B54" s="38" t="str">
        <f>IF($D$24&lt;&gt;"","N = "&amp;C24&amp;" шт. (задано);   N_h = "&amp;C25&amp;" шт."&amp;IF($D$25="",IF(C25=C24," (принято равным N)","")," (задано)"),"N = Σ(n_пр·n_кв)·n_эт·n_сек = "&amp;I18&amp;"·"&amp;C5&amp;"·"&amp;C6&amp;" = "&amp;C24&amp;" шт.;   N_h = "&amp;J18&amp;"·"&amp;C5&amp;"·"&amp;C6&amp;" = "&amp;C25&amp;" шт.")</f>
        <v>N = 316 шт. (задано);   N_h = 316 шт. (принято равным N)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</row>
    <row r="55" spans="2:19" ht="34.049999999999997" customHeight="1" x14ac:dyDescent="0.3">
      <c r="B55" s="38" t="str">
        <f>"Суточные: q_u,m^tot = q_u^tot·U/1000 = "&amp;FIXED(F38,1,TRUE)&amp;"·"&amp;D38&amp;"/1000 = "&amp;FIXED(J38,3,TRUE)&amp;" м³/сут;  q_u,m^c = (q_u^tot − q_u^h)·U/1000 = ("&amp;FIXED(C29,1,TRUE)&amp;" − "&amp;FIXED(D29,1,TRUE)&amp;")·"&amp;D40&amp;"/1000 = "&amp;FIXED(J40,3,TRUE)&amp;" м³/сут;  q_u,m^h = "&amp;FIXED(F39,1,TRUE)&amp;"·"&amp;D39&amp;"/1000 = "&amp;FIXED(J39,3,TRUE)&amp;" м³/сут"</f>
        <v>Суточные: q_u,m^tot = q_u^tot·U/1000 = 180,0·288/1000 = 51,840 м³/сут;  q_u,m^c = (q_u^tot − q_u^h)·U/1000 = (180,0 − 70,0)·288/1000 = 31,680 м³/сут;  q_u,m^h = 70,0·288/1000 = 20,160 м³/сут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</row>
    <row r="56" spans="2:19" ht="34.049999999999997" customHeight="1" x14ac:dyDescent="0.3">
      <c r="B56" s="38" t="str">
        <f>"Среднечасовые: q_T^tot = q_u^tot·U/(1000·T) = "&amp;FIXED(J38,3,TRUE)&amp;"/"&amp;C38&amp;" = "&amp;FIXED(K38,3,TRUE)&amp;" м³/ч;  q_T^c = "&amp;FIXED(J40,3,TRUE)&amp;"/"&amp;C40&amp;" = "&amp;FIXED(K40,3,TRUE)&amp;" м³/ч;  q_T^h = "&amp;FIXED(J39,3,TRUE)&amp;"/"&amp;C39&amp;" = "&amp;FIXED(K39,3,TRUE)&amp;" м³/ч"</f>
        <v>Среднечасовые: q_T^tot = q_u^tot·U/(1000·T) = 51,840/24 = 2,160 м³/ч;  q_T^c = 31,680/24 = 1,320 м³/ч;  q_T^h = 20,160/24 = 0,840 м³/ч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</row>
    <row r="57" spans="2:19" ht="34.049999999999997" customHeight="1" x14ac:dyDescent="0.3">
      <c r="B57" s="38" t="str">
        <f>"P^tot = q_hr,u^tot·U/(q_0^tot·N·3600) = "&amp;FIXED(G38,2,TRUE)&amp;"·"&amp;D38&amp;"/("&amp;FIXED(H38,2,TRUE)&amp;"·"&amp;E38&amp;"·3600) = "&amp;FIXED(L38,5,TRUE)&amp;";  NP^tot = "&amp;E38&amp;"·"&amp;FIXED(L38,5,TRUE)&amp;" = "&amp;FIXED(M38,3,TRUE)&amp;" → α^tot = "&amp;FIXED(N38,3,TRUE)&amp;" (табл. "&amp;C45&amp;");  q^tot = 5·q_0^tot·α^tot = 5·"&amp;FIXED(H38,2,TRUE)&amp;"·"&amp;FIXED(N38,3,TRUE)&amp;" = "&amp;FIXED(O38,3,TRUE)&amp;" л/с"</f>
        <v>P^tot = q_hr,u^tot·U/(q_0^tot·N·3600) = 11,60·288/(0,30·316·3600) = 0,00979;  NP^tot = 316·0,00979 = 3,093 → α^tot = 1,876 (табл. Б.2);  q^tot = 5·q_0^tot·α^tot = 5·0,30·1,876 = 2,815 л/с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</row>
    <row r="58" spans="2:19" ht="34.049999999999997" customHeight="1" x14ac:dyDescent="0.3">
      <c r="B58" s="38" t="str">
        <f>"P^c = q_hr,u^c·U/(q_0^c·N·3600) = "&amp;"("&amp;FIXED(C30,2,TRUE)&amp;" − "&amp;FIXED(D30,2,TRUE)&amp;")"&amp;"·"&amp;D40&amp;"/("&amp;FIXED(H40,2,TRUE)&amp;"·"&amp;E40&amp;"·3600) = "&amp;FIXED(L40,5,TRUE)&amp;";  NP^c = "&amp;E40&amp;"·"&amp;FIXED(L40,5,TRUE)&amp;" = "&amp;FIXED(M40,3,TRUE)&amp;" → α^c = "&amp;FIXED(N40,3,TRUE)&amp;" (табл. "&amp;C47&amp;");  q^c = 5·q_0^c·α^c = 5·"&amp;FIXED(H40,2,TRUE)&amp;"·"&amp;FIXED(N40,3,TRUE)&amp;" = "&amp;FIXED(O40,3,TRUE)&amp;" л/с"</f>
        <v>P^c = q_hr,u^c·U/(q_0^c·N·3600) = (11,60 − 6,50)·288/(0,20·316·3600) = 0,00646;  NP^c = 316·0,00646 = 2,040 → α^c = 1,454 (табл. Б.2);  q^c = 5·q_0^c·α^c = 5·0,20·1,454 = 1,454 л/с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</row>
    <row r="59" spans="2:19" ht="34.049999999999997" customHeight="1" x14ac:dyDescent="0.3">
      <c r="B59" s="38" t="str">
        <f>"P^h = q_hr,u^h·U/(q_0^h·N·3600) = "&amp;FIXED(G39,2,TRUE)&amp;"·"&amp;D39&amp;"/("&amp;FIXED(H39,2,TRUE)&amp;"·"&amp;E39&amp;"·3600) = "&amp;FIXED(L39,5,TRUE)&amp;";  NP^h = "&amp;E39&amp;"·"&amp;FIXED(L39,5,TRUE)&amp;" = "&amp;FIXED(M39,3,TRUE)&amp;" → α^h = "&amp;FIXED(N39,3,TRUE)&amp;" (табл. "&amp;C46&amp;");  q^h = 5·q_0^h·α^h = 5·"&amp;FIXED(H39,2,TRUE)&amp;"·"&amp;FIXED(N39,3,TRUE)&amp;" = "&amp;FIXED(O39,3,TRUE)&amp;" л/с"</f>
        <v>P^h = q_hr,u^h·U/(q_0^h·N·3600) = 6,50·288/(0,20·316·3600) = 0,00823;  NP^h = 316·0,00823 = 2,600 → α^h = 1,684 (табл. Б.2);  q^h = 5·q_0^h·α^h = 5·0,20·1,684 = 1,684 л/с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</row>
    <row r="60" spans="2:19" ht="34.049999999999997" customHeight="1" x14ac:dyDescent="0.3">
      <c r="B60" s="38" t="str">
        <f>"P_hr^tot = 3600·P^tot·q_0^tot/q_0,hr^tot = 3600·"&amp;FIXED(L38,5,TRUE)&amp;"·"&amp;FIXED(H38,2,TRUE)&amp;"/"&amp;FIXED(I38,0,TRUE)&amp;" = "&amp;FIXED(P38,5,TRUE)&amp;";  NP_hr^tot = "&amp;E38&amp;"·"&amp;FIXED(P38,5,TRUE)&amp;" = "&amp;FIXED(Q38,3,TRUE)&amp;" → α_hr^tot = "&amp;FIXED(R38,3,TRUE)&amp;" (табл. "&amp;C48&amp;");  q_hr^tot = 0,005·q_0,hr^tot·α_hr^tot = 0,005·"&amp;FIXED(I38,0,TRUE)&amp;"·"&amp;FIXED(R38,3,TRUE)&amp;" = "&amp;FIXED(S38,3,TRUE)&amp;" м³/ч"</f>
        <v>P_hr^tot = 3600·P^tot·q_0^tot/q_0,hr^tot = 3600·0,00979·0,30/300 = 0,03524;  NP_hr^tot = 316·0,03524 = 11,136 → α_hr^tot = 4,458 (табл. Б.2);  q_hr^tot = 0,005·q_0,hr^tot·α_hr^tot = 0,005·300·4,458 = 6,688 м³/ч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</row>
    <row r="61" spans="2:19" ht="34.049999999999997" customHeight="1" x14ac:dyDescent="0.3">
      <c r="B61" s="38" t="str">
        <f>"P_hr^c = 3600·P^c·q_0^c/q_0,hr^c = 3600·"&amp;FIXED(L40,5,TRUE)&amp;"·"&amp;FIXED(H40,2,TRUE)&amp;"/"&amp;FIXED(I40,0,TRUE)&amp;" = "&amp;FIXED(P40,5,TRUE)&amp;";  NP_hr^c = "&amp;E40&amp;"·"&amp;FIXED(P40,5,TRUE)&amp;" = "&amp;FIXED(Q40,3,TRUE)&amp;" → α_hr^c = "&amp;FIXED(R40,3,TRUE)&amp;" (табл. "&amp;C50&amp;");  q_hr^c = 0,005·q_0,hr^c·α_hr^c = 0,005·"&amp;FIXED(I40,0,TRUE)&amp;"·"&amp;FIXED(R40,3,TRUE)&amp;" = "&amp;FIXED(S40,3,TRUE)&amp;" м³/ч"</f>
        <v>P_hr^c = 3600·P^c·q_0^c/q_0,hr^c = 3600·0,00646·0,20/200 = 0,02324;  NP_hr^c = 316·0,02324 = 7,344 → α_hr^c = 3,321 (табл. Б.2);  q_hr^c = 0,005·q_0,hr^c·α_hr^c = 0,005·200·3,321 = 3,321 м³/ч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</row>
    <row r="62" spans="2:19" ht="34.049999999999997" customHeight="1" x14ac:dyDescent="0.3">
      <c r="B62" s="38" t="str">
        <f>"P_hr^h = 3600·P^h·q_0^h/q_0,hr^h = 3600·"&amp;FIXED(L39,5,TRUE)&amp;"·"&amp;FIXED(H39,2,TRUE)&amp;"/"&amp;FIXED(I39,0,TRUE)&amp;" = "&amp;FIXED(P39,5,TRUE)&amp;";  NP_hr^h = "&amp;E39&amp;"·"&amp;FIXED(P39,5,TRUE)&amp;" = "&amp;FIXED(Q39,3,TRUE)&amp;" → α_hr^h = "&amp;FIXED(R39,3,TRUE)&amp;" (табл. "&amp;C49&amp;");  q_hr^h = 0,005·q_0,hr^h·α_hr^h = 0,005·"&amp;FIXED(I39,0,TRUE)&amp;"·"&amp;FIXED(R39,3,TRUE)&amp;" = "&amp;FIXED(S39,3,TRUE)&amp;" м³/ч"</f>
        <v>P_hr^h = 3600·P^h·q_0^h/q_0,hr^h = 3600·0,00823·0,20/200 = 0,02962;  NP_hr^h = 316·0,02962 = 9,360 → α_hr^h = 3,936 (табл. Б.2);  q_hr^h = 0,005·q_0,hr^h·α_hr^h = 0,005·200·3,936 = 3,936 м³/ч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</row>
    <row r="64" spans="2:19" x14ac:dyDescent="0.3">
      <c r="B64" s="31" t="s">
        <v>87</v>
      </c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</row>
  </sheetData>
  <mergeCells count="25">
    <mergeCell ref="B64:S64"/>
    <mergeCell ref="B55:S55"/>
    <mergeCell ref="B41:S41"/>
    <mergeCell ref="J49:S49"/>
    <mergeCell ref="B54:S54"/>
    <mergeCell ref="B62:S62"/>
    <mergeCell ref="J45:S45"/>
    <mergeCell ref="B59:S59"/>
    <mergeCell ref="B56:S56"/>
    <mergeCell ref="B58:S58"/>
    <mergeCell ref="B61:S61"/>
    <mergeCell ref="B57:S57"/>
    <mergeCell ref="B1:S1"/>
    <mergeCell ref="B53:S53"/>
    <mergeCell ref="J46:S46"/>
    <mergeCell ref="E9:S9"/>
    <mergeCell ref="B34:S34"/>
    <mergeCell ref="J48:S48"/>
    <mergeCell ref="C9:D9"/>
    <mergeCell ref="E23:S23"/>
    <mergeCell ref="B2:S2"/>
    <mergeCell ref="C8:I8"/>
    <mergeCell ref="J47:S47"/>
    <mergeCell ref="J50:S50"/>
    <mergeCell ref="B60:S60"/>
  </mergeCells>
  <dataValidations count="2">
    <dataValidation type="list" sqref="C8" xr:uid="{00000000-0002-0000-0000-000000000000}">
      <formula1>A2_IMYA</formula1>
    </dataValidation>
    <dataValidation type="list" sqref="C9" xr:uid="{00000000-0002-0000-0000-000001000000}">
      <formula1>"интерполяция,ближайшее меньшее"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"/>
  <sheetViews>
    <sheetView workbookViewId="0"/>
  </sheetViews>
  <sheetFormatPr defaultRowHeight="14.4" x14ac:dyDescent="0.3"/>
  <cols>
    <col min="1" max="1" width="16" customWidth="1"/>
    <col min="2" max="28" width="11" customWidth="1"/>
    <col min="29" max="29" width="60" customWidth="1"/>
  </cols>
  <sheetData>
    <row r="1" spans="1:29" ht="15.6" x14ac:dyDescent="0.3">
      <c r="A1" s="24" t="s">
        <v>71</v>
      </c>
      <c r="B1" s="24" t="s">
        <v>88</v>
      </c>
      <c r="C1" s="24" t="s">
        <v>61</v>
      </c>
      <c r="D1" s="24" t="s">
        <v>62</v>
      </c>
      <c r="E1" s="24" t="s">
        <v>89</v>
      </c>
      <c r="F1" s="24" t="s">
        <v>90</v>
      </c>
      <c r="G1" s="24" t="s">
        <v>91</v>
      </c>
      <c r="H1" s="24" t="s">
        <v>92</v>
      </c>
      <c r="I1" s="24" t="s">
        <v>93</v>
      </c>
      <c r="J1" s="24" t="s">
        <v>94</v>
      </c>
      <c r="K1" s="24" t="s">
        <v>95</v>
      </c>
      <c r="L1" s="24" t="s">
        <v>96</v>
      </c>
      <c r="M1" s="24" t="s">
        <v>97</v>
      </c>
      <c r="N1" s="24" t="s">
        <v>98</v>
      </c>
      <c r="O1" s="24" t="s">
        <v>99</v>
      </c>
      <c r="P1" s="24" t="s">
        <v>100</v>
      </c>
      <c r="Q1" s="24" t="s">
        <v>101</v>
      </c>
      <c r="R1" s="24" t="s">
        <v>102</v>
      </c>
      <c r="S1" s="24" t="s">
        <v>103</v>
      </c>
      <c r="T1" s="24" t="s">
        <v>104</v>
      </c>
      <c r="U1" s="24" t="s">
        <v>105</v>
      </c>
      <c r="V1" s="24" t="s">
        <v>106</v>
      </c>
      <c r="W1" s="24" t="s">
        <v>107</v>
      </c>
      <c r="X1" s="24" t="s">
        <v>108</v>
      </c>
      <c r="Y1" s="24" t="s">
        <v>109</v>
      </c>
      <c r="Z1" s="24" t="s">
        <v>110</v>
      </c>
      <c r="AA1" s="24" t="s">
        <v>63</v>
      </c>
      <c r="AB1" s="24" t="s">
        <v>111</v>
      </c>
      <c r="AC1" s="24" t="s">
        <v>112</v>
      </c>
    </row>
    <row r="2" spans="1:29" ht="15.6" x14ac:dyDescent="0.3">
      <c r="A2" s="25" t="s">
        <v>80</v>
      </c>
      <c r="B2" s="25">
        <f>Расчёт!E38</f>
        <v>316</v>
      </c>
      <c r="C2" s="25">
        <f>Расчёт!L38</f>
        <v>9.7890295358649786E-3</v>
      </c>
      <c r="D2" s="25">
        <f t="shared" ref="D2:D7" si="0">B2*C2</f>
        <v>3.0933333333333333</v>
      </c>
      <c r="E2" s="25" t="b">
        <f t="shared" ref="E2:E7" si="1">AND(C2&gt;0.1,B2&lt;=200,B2&gt;=2)</f>
        <v>0</v>
      </c>
      <c r="F2" s="25">
        <f t="shared" ref="F2:F7" si="2">IF(D2&lt;0.015,0,MATCH(D2,B2_NP,1))</f>
        <v>166</v>
      </c>
      <c r="G2" s="25">
        <f t="shared" ref="G2:G7" si="3">IF(F2=0,0,INDEX(B2_NP,F2))</f>
        <v>3</v>
      </c>
      <c r="H2" s="25">
        <f t="shared" ref="H2:H7" si="4">IF(F2=0,0.2,INDEX(B2_A,F2))</f>
        <v>1.84</v>
      </c>
      <c r="I2" s="25">
        <f t="shared" ref="I2:I7" si="5">IF(F2=0,0.015,INDEX(B2_NP,MIN(F2+1,581)))</f>
        <v>3.1</v>
      </c>
      <c r="J2" s="25">
        <f t="shared" ref="J2:J7" si="6">IF(F2=0,0.2,INDEX(B2_A,MIN(F2+1,581)))</f>
        <v>1.879</v>
      </c>
      <c r="K2" s="25">
        <f>IF(OR(F2=0,I2=G2,Расчёт!$C$9="ближайшее меньшее"),H2,H2+(D2-G2)*(J2-H2)/(I2-G2))</f>
        <v>1.8763999999999998</v>
      </c>
      <c r="L2" s="25">
        <f t="shared" ref="L2:L7" si="7">IF(E2,MATCH(B2,B1_N,1),1)</f>
        <v>1</v>
      </c>
      <c r="M2" s="25">
        <f t="shared" ref="M2:M7" si="8">MIN(L2+1,52)</f>
        <v>2</v>
      </c>
      <c r="N2" s="25">
        <f t="shared" ref="N2:N7" si="9">IF(E2,MATCH(C2,B1_P,1),1)</f>
        <v>1</v>
      </c>
      <c r="O2" s="25">
        <f t="shared" ref="O2:O7" si="10">MIN(N2+1,10)</f>
        <v>2</v>
      </c>
      <c r="P2" s="25">
        <f t="shared" ref="P2:Q7" si="11">INDEX(B1_N,L2)</f>
        <v>2</v>
      </c>
      <c r="Q2" s="25">
        <f t="shared" si="11"/>
        <v>4</v>
      </c>
      <c r="R2" s="25">
        <f t="shared" ref="R2:S7" si="12">INDEX(B1_P,N2)</f>
        <v>0.1</v>
      </c>
      <c r="S2" s="25">
        <f t="shared" si="12"/>
        <v>0.125</v>
      </c>
      <c r="T2" s="25">
        <f t="shared" ref="T2:T7" si="13">INDEX(B1_T,L2,N2)</f>
        <v>0.39</v>
      </c>
      <c r="U2" s="25">
        <f t="shared" ref="U2:U7" si="14">INDEX(B1_T,L2,O2)</f>
        <v>0.39</v>
      </c>
      <c r="V2" s="25">
        <f t="shared" ref="V2:V7" si="15">INDEX(B1_T,M2,N2)</f>
        <v>0.57999999999999996</v>
      </c>
      <c r="W2" s="25">
        <f t="shared" ref="W2:W7" si="16">INDEX(B1_T,M2,O2)</f>
        <v>0.62</v>
      </c>
      <c r="X2" s="25">
        <f>IF(OR(S2=R2,Расчёт!$C$9="ближайшее меньшее"),0,(MIN(C2,S2)-R2)/(S2-R2))</f>
        <v>-3.6084388185654017</v>
      </c>
      <c r="Y2" s="25">
        <f>IF(OR(Q2=P2,Расчёт!$C$9="ближайшее меньшее"),0,(B2-P2)/(Q2-P2))</f>
        <v>157</v>
      </c>
      <c r="Z2" s="25">
        <f t="shared" ref="Z2:Z7" si="17">(T2+(U2-T2)*X2)*(1-Y2)+(V2+(W2-V2)*X2)*Y2</f>
        <v>7.5590042194092462</v>
      </c>
      <c r="AA2" s="25">
        <f t="shared" ref="AA2:AA7" si="18">IF(E2,Z2,K2)</f>
        <v>1.8763999999999998</v>
      </c>
      <c r="AB2" s="25" t="str">
        <f t="shared" ref="AB2:AB7" si="19">IF(E2,"Б.1","Б.2")</f>
        <v>Б.2</v>
      </c>
      <c r="AC2" s="25" t="str">
        <f t="shared" ref="AC2:AC7" si="20">IF(E2,"P &gt; 0,1 и N ≤ 200 — α по табл. Б.1: N = "&amp;P2&amp;"…"&amp;Q2&amp;", P = "&amp;R2&amp;"…"&amp;S2,IF(F2=0,"NP &lt; 0,015 — α = 0,2 (табл. Б.2)",""))</f>
        <v/>
      </c>
    </row>
    <row r="3" spans="1:29" ht="15.6" x14ac:dyDescent="0.3">
      <c r="A3" s="25" t="s">
        <v>81</v>
      </c>
      <c r="B3" s="25">
        <f>Расчёт!E39</f>
        <v>316</v>
      </c>
      <c r="C3" s="25">
        <f>Расчёт!L39</f>
        <v>8.2278481012658233E-3</v>
      </c>
      <c r="D3" s="25">
        <f t="shared" si="0"/>
        <v>2.6</v>
      </c>
      <c r="E3" s="25" t="b">
        <f t="shared" si="1"/>
        <v>0</v>
      </c>
      <c r="F3" s="25">
        <f t="shared" si="2"/>
        <v>162</v>
      </c>
      <c r="G3" s="25">
        <f t="shared" si="3"/>
        <v>2.6</v>
      </c>
      <c r="H3" s="25">
        <f t="shared" si="4"/>
        <v>1.6839999999999999</v>
      </c>
      <c r="I3" s="25">
        <f t="shared" si="5"/>
        <v>2.7</v>
      </c>
      <c r="J3" s="25">
        <f t="shared" si="6"/>
        <v>1.724</v>
      </c>
      <c r="K3" s="25">
        <f>IF(OR(F3=0,I3=G3,Расчёт!$C$9="ближайшее меньшее"),H3,H3+(D3-G3)*(J3-H3)/(I3-G3))</f>
        <v>1.6839999999999999</v>
      </c>
      <c r="L3" s="25">
        <f t="shared" si="7"/>
        <v>1</v>
      </c>
      <c r="M3" s="25">
        <f t="shared" si="8"/>
        <v>2</v>
      </c>
      <c r="N3" s="25">
        <f t="shared" si="9"/>
        <v>1</v>
      </c>
      <c r="O3" s="25">
        <f t="shared" si="10"/>
        <v>2</v>
      </c>
      <c r="P3" s="25">
        <f t="shared" si="11"/>
        <v>2</v>
      </c>
      <c r="Q3" s="25">
        <f t="shared" si="11"/>
        <v>4</v>
      </c>
      <c r="R3" s="25">
        <f t="shared" si="12"/>
        <v>0.1</v>
      </c>
      <c r="S3" s="25">
        <f t="shared" si="12"/>
        <v>0.125</v>
      </c>
      <c r="T3" s="25">
        <f t="shared" si="13"/>
        <v>0.39</v>
      </c>
      <c r="U3" s="25">
        <f t="shared" si="14"/>
        <v>0.39</v>
      </c>
      <c r="V3" s="25">
        <f t="shared" si="15"/>
        <v>0.57999999999999996</v>
      </c>
      <c r="W3" s="25">
        <f t="shared" si="16"/>
        <v>0.62</v>
      </c>
      <c r="X3" s="25">
        <f>IF(OR(S3=R3,Расчёт!$C$9="ближайшее меньшее"),0,(MIN(C3,S3)-R3)/(S3-R3))</f>
        <v>-3.670886075949368</v>
      </c>
      <c r="Y3" s="25">
        <f>IF(OR(Q3=P3,Расчёт!$C$9="ближайшее меньшее"),0,(B3-P3)/(Q3-P3))</f>
        <v>157</v>
      </c>
      <c r="Z3" s="25">
        <f t="shared" si="17"/>
        <v>7.1668354430379395</v>
      </c>
      <c r="AA3" s="25">
        <f t="shared" si="18"/>
        <v>1.6839999999999999</v>
      </c>
      <c r="AB3" s="25" t="str">
        <f t="shared" si="19"/>
        <v>Б.2</v>
      </c>
      <c r="AC3" s="25" t="str">
        <f t="shared" si="20"/>
        <v/>
      </c>
    </row>
    <row r="4" spans="1:29" ht="15.6" x14ac:dyDescent="0.3">
      <c r="A4" s="25" t="s">
        <v>82</v>
      </c>
      <c r="B4" s="25">
        <f>Расчёт!E40</f>
        <v>316</v>
      </c>
      <c r="C4" s="25">
        <f>Расчёт!L40</f>
        <v>6.4556962025316455E-3</v>
      </c>
      <c r="D4" s="25">
        <f t="shared" si="0"/>
        <v>2.04</v>
      </c>
      <c r="E4" s="25" t="b">
        <f t="shared" si="1"/>
        <v>0</v>
      </c>
      <c r="F4" s="25">
        <f t="shared" si="2"/>
        <v>156</v>
      </c>
      <c r="G4" s="25">
        <f t="shared" si="3"/>
        <v>2</v>
      </c>
      <c r="H4" s="25">
        <f t="shared" si="4"/>
        <v>1.4370000000000001</v>
      </c>
      <c r="I4" s="25">
        <f t="shared" si="5"/>
        <v>2.1</v>
      </c>
      <c r="J4" s="25">
        <f t="shared" si="6"/>
        <v>1.4790000000000001</v>
      </c>
      <c r="K4" s="25">
        <f>IF(OR(F4=0,I4=G4,Расчёт!$C$9="ближайшее меньшее"),H4,H4+(D4-G4)*(J4-H4)/(I4-G4))</f>
        <v>1.4538</v>
      </c>
      <c r="L4" s="25">
        <f t="shared" si="7"/>
        <v>1</v>
      </c>
      <c r="M4" s="25">
        <f t="shared" si="8"/>
        <v>2</v>
      </c>
      <c r="N4" s="25">
        <f t="shared" si="9"/>
        <v>1</v>
      </c>
      <c r="O4" s="25">
        <f t="shared" si="10"/>
        <v>2</v>
      </c>
      <c r="P4" s="25">
        <f t="shared" si="11"/>
        <v>2</v>
      </c>
      <c r="Q4" s="25">
        <f t="shared" si="11"/>
        <v>4</v>
      </c>
      <c r="R4" s="25">
        <f t="shared" si="12"/>
        <v>0.1</v>
      </c>
      <c r="S4" s="25">
        <f t="shared" si="12"/>
        <v>0.125</v>
      </c>
      <c r="T4" s="25">
        <f t="shared" si="13"/>
        <v>0.39</v>
      </c>
      <c r="U4" s="25">
        <f t="shared" si="14"/>
        <v>0.39</v>
      </c>
      <c r="V4" s="25">
        <f t="shared" si="15"/>
        <v>0.57999999999999996</v>
      </c>
      <c r="W4" s="25">
        <f t="shared" si="16"/>
        <v>0.62</v>
      </c>
      <c r="X4" s="25">
        <f>IF(OR(S4=R4,Расчёт!$C$9="ближайшее меньшее"),0,(MIN(C4,S4)-R4)/(S4-R4))</f>
        <v>-3.7417721518987355</v>
      </c>
      <c r="Y4" s="25">
        <f>IF(OR(Q4=P4,Расчёт!$C$9="ближайшее меньшее"),0,(B4-P4)/(Q4-P4))</f>
        <v>157</v>
      </c>
      <c r="Z4" s="25">
        <f t="shared" si="17"/>
        <v>6.7216708860759127</v>
      </c>
      <c r="AA4" s="25">
        <f t="shared" si="18"/>
        <v>1.4538</v>
      </c>
      <c r="AB4" s="25" t="str">
        <f t="shared" si="19"/>
        <v>Б.2</v>
      </c>
      <c r="AC4" s="25" t="str">
        <f t="shared" si="20"/>
        <v/>
      </c>
    </row>
    <row r="5" spans="1:29" ht="15.6" x14ac:dyDescent="0.3">
      <c r="A5" s="25" t="s">
        <v>83</v>
      </c>
      <c r="B5" s="25">
        <f>Расчёт!E38</f>
        <v>316</v>
      </c>
      <c r="C5" s="25">
        <f>Расчёт!P38</f>
        <v>3.5240506329113915E-2</v>
      </c>
      <c r="D5" s="25">
        <f t="shared" si="0"/>
        <v>11.135999999999997</v>
      </c>
      <c r="E5" s="25" t="b">
        <f t="shared" si="1"/>
        <v>0</v>
      </c>
      <c r="F5" s="25">
        <f t="shared" si="2"/>
        <v>241</v>
      </c>
      <c r="G5" s="25">
        <f t="shared" si="3"/>
        <v>11</v>
      </c>
      <c r="H5" s="25">
        <f t="shared" si="4"/>
        <v>4.4189999999999996</v>
      </c>
      <c r="I5" s="25">
        <f t="shared" si="5"/>
        <v>11.2</v>
      </c>
      <c r="J5" s="25">
        <f t="shared" si="6"/>
        <v>4.4770000000000003</v>
      </c>
      <c r="K5" s="25">
        <f>IF(OR(F5=0,I5=G5,Расчёт!$C$9="ближайшее меньшее"),H5,H5+(D5-G5)*(J5-H5)/(I5-G5))</f>
        <v>4.4584399999999995</v>
      </c>
      <c r="L5" s="25">
        <f t="shared" si="7"/>
        <v>1</v>
      </c>
      <c r="M5" s="25">
        <f t="shared" si="8"/>
        <v>2</v>
      </c>
      <c r="N5" s="25">
        <f t="shared" si="9"/>
        <v>1</v>
      </c>
      <c r="O5" s="25">
        <f t="shared" si="10"/>
        <v>2</v>
      </c>
      <c r="P5" s="25">
        <f t="shared" si="11"/>
        <v>2</v>
      </c>
      <c r="Q5" s="25">
        <f t="shared" si="11"/>
        <v>4</v>
      </c>
      <c r="R5" s="25">
        <f t="shared" si="12"/>
        <v>0.1</v>
      </c>
      <c r="S5" s="25">
        <f t="shared" si="12"/>
        <v>0.125</v>
      </c>
      <c r="T5" s="25">
        <f t="shared" si="13"/>
        <v>0.39</v>
      </c>
      <c r="U5" s="25">
        <f t="shared" si="14"/>
        <v>0.39</v>
      </c>
      <c r="V5" s="25">
        <f t="shared" si="15"/>
        <v>0.57999999999999996</v>
      </c>
      <c r="W5" s="25">
        <f t="shared" si="16"/>
        <v>0.62</v>
      </c>
      <c r="X5" s="25">
        <f>IF(OR(S5=R5,Расчёт!$C$9="ближайшее меньшее"),0,(MIN(C5,S5)-R5)/(S5-R5))</f>
        <v>-2.5903797468354446</v>
      </c>
      <c r="Y5" s="25">
        <f>IF(OR(Q5=P5,Расчёт!$C$9="ближайшее меньшее"),0,(B5-P5)/(Q5-P5))</f>
        <v>157</v>
      </c>
      <c r="Z5" s="25">
        <f t="shared" si="17"/>
        <v>13.952415189873378</v>
      </c>
      <c r="AA5" s="25">
        <f t="shared" si="18"/>
        <v>4.4584399999999995</v>
      </c>
      <c r="AB5" s="25" t="str">
        <f t="shared" si="19"/>
        <v>Б.2</v>
      </c>
      <c r="AC5" s="25" t="str">
        <f t="shared" si="20"/>
        <v/>
      </c>
    </row>
    <row r="6" spans="1:29" ht="15.6" x14ac:dyDescent="0.3">
      <c r="A6" s="25" t="s">
        <v>84</v>
      </c>
      <c r="B6" s="25">
        <f>Расчёт!E39</f>
        <v>316</v>
      </c>
      <c r="C6" s="25">
        <f>Расчёт!P39</f>
        <v>2.9620253164556964E-2</v>
      </c>
      <c r="D6" s="25">
        <f t="shared" si="0"/>
        <v>9.3600000000000012</v>
      </c>
      <c r="E6" s="25" t="b">
        <f t="shared" si="1"/>
        <v>0</v>
      </c>
      <c r="F6" s="25">
        <f t="shared" si="2"/>
        <v>229</v>
      </c>
      <c r="G6" s="25">
        <f t="shared" si="3"/>
        <v>9.3000000000000007</v>
      </c>
      <c r="H6" s="25">
        <f t="shared" si="4"/>
        <v>3.9180000000000001</v>
      </c>
      <c r="I6" s="25">
        <f t="shared" si="5"/>
        <v>9.4</v>
      </c>
      <c r="J6" s="25">
        <f t="shared" si="6"/>
        <v>3.948</v>
      </c>
      <c r="K6" s="25">
        <f>IF(OR(F6=0,I6=G6,Расчёт!$C$9="ближайшее меньшее"),H6,H6+(D6-G6)*(J6-H6)/(I6-G6))</f>
        <v>3.9360000000000004</v>
      </c>
      <c r="L6" s="25">
        <f t="shared" si="7"/>
        <v>1</v>
      </c>
      <c r="M6" s="25">
        <f t="shared" si="8"/>
        <v>2</v>
      </c>
      <c r="N6" s="25">
        <f t="shared" si="9"/>
        <v>1</v>
      </c>
      <c r="O6" s="25">
        <f t="shared" si="10"/>
        <v>2</v>
      </c>
      <c r="P6" s="25">
        <f t="shared" si="11"/>
        <v>2</v>
      </c>
      <c r="Q6" s="25">
        <f t="shared" si="11"/>
        <v>4</v>
      </c>
      <c r="R6" s="25">
        <f t="shared" si="12"/>
        <v>0.1</v>
      </c>
      <c r="S6" s="25">
        <f t="shared" si="12"/>
        <v>0.125</v>
      </c>
      <c r="T6" s="25">
        <f t="shared" si="13"/>
        <v>0.39</v>
      </c>
      <c r="U6" s="25">
        <f t="shared" si="14"/>
        <v>0.39</v>
      </c>
      <c r="V6" s="25">
        <f t="shared" si="15"/>
        <v>0.57999999999999996</v>
      </c>
      <c r="W6" s="25">
        <f t="shared" si="16"/>
        <v>0.62</v>
      </c>
      <c r="X6" s="25">
        <f>IF(OR(S6=R6,Расчёт!$C$9="ближайшее меньшее"),0,(MIN(C6,S6)-R6)/(S6-R6))</f>
        <v>-2.8151898734177223</v>
      </c>
      <c r="Y6" s="25">
        <f>IF(OR(Q6=P6,Расчёт!$C$9="ближайшее меньшее"),0,(B6-P6)/(Q6-P6))</f>
        <v>157</v>
      </c>
      <c r="Z6" s="25">
        <f t="shared" si="17"/>
        <v>12.540607594936674</v>
      </c>
      <c r="AA6" s="25">
        <f t="shared" si="18"/>
        <v>3.9360000000000004</v>
      </c>
      <c r="AB6" s="25" t="str">
        <f t="shared" si="19"/>
        <v>Б.2</v>
      </c>
      <c r="AC6" s="25" t="str">
        <f t="shared" si="20"/>
        <v/>
      </c>
    </row>
    <row r="7" spans="1:29" ht="15.6" x14ac:dyDescent="0.3">
      <c r="A7" s="25" t="s">
        <v>85</v>
      </c>
      <c r="B7" s="25">
        <f>Расчёт!E40</f>
        <v>316</v>
      </c>
      <c r="C7" s="25">
        <f>Расчёт!P40</f>
        <v>2.3240506329113925E-2</v>
      </c>
      <c r="D7" s="25">
        <f t="shared" si="0"/>
        <v>7.3440000000000003</v>
      </c>
      <c r="E7" s="25" t="b">
        <f t="shared" si="1"/>
        <v>0</v>
      </c>
      <c r="F7" s="25">
        <f t="shared" si="2"/>
        <v>209</v>
      </c>
      <c r="G7" s="25">
        <f t="shared" si="3"/>
        <v>7.3</v>
      </c>
      <c r="H7" s="25">
        <f t="shared" si="4"/>
        <v>3.3069999999999999</v>
      </c>
      <c r="I7" s="25">
        <f t="shared" si="5"/>
        <v>7.4</v>
      </c>
      <c r="J7" s="25">
        <f t="shared" si="6"/>
        <v>3.3380000000000001</v>
      </c>
      <c r="K7" s="25">
        <f>IF(OR(F7=0,I7=G7,Расчёт!$C$9="ближайшее меньшее"),H7,H7+(D7-G7)*(J7-H7)/(I7-G7))</f>
        <v>3.32064</v>
      </c>
      <c r="L7" s="25">
        <f t="shared" si="7"/>
        <v>1</v>
      </c>
      <c r="M7" s="25">
        <f t="shared" si="8"/>
        <v>2</v>
      </c>
      <c r="N7" s="25">
        <f t="shared" si="9"/>
        <v>1</v>
      </c>
      <c r="O7" s="25">
        <f t="shared" si="10"/>
        <v>2</v>
      </c>
      <c r="P7" s="25">
        <f t="shared" si="11"/>
        <v>2</v>
      </c>
      <c r="Q7" s="25">
        <f t="shared" si="11"/>
        <v>4</v>
      </c>
      <c r="R7" s="25">
        <f t="shared" si="12"/>
        <v>0.1</v>
      </c>
      <c r="S7" s="25">
        <f t="shared" si="12"/>
        <v>0.125</v>
      </c>
      <c r="T7" s="25">
        <f t="shared" si="13"/>
        <v>0.39</v>
      </c>
      <c r="U7" s="25">
        <f t="shared" si="14"/>
        <v>0.39</v>
      </c>
      <c r="V7" s="25">
        <f t="shared" si="15"/>
        <v>0.57999999999999996</v>
      </c>
      <c r="W7" s="25">
        <f t="shared" si="16"/>
        <v>0.62</v>
      </c>
      <c r="X7" s="25">
        <f>IF(OR(S7=R7,Расчёт!$C$9="ближайшее меньшее"),0,(MIN(C7,S7)-R7)/(S7-R7))</f>
        <v>-3.0703797468354441</v>
      </c>
      <c r="Y7" s="25">
        <f>IF(OR(Q7=P7,Расчёт!$C$9="ближайшее меньшее"),0,(B7-P7)/(Q7-P7))</f>
        <v>157</v>
      </c>
      <c r="Z7" s="25">
        <f t="shared" si="17"/>
        <v>10.938015189873383</v>
      </c>
      <c r="AA7" s="25">
        <f t="shared" si="18"/>
        <v>3.32064</v>
      </c>
      <c r="AB7" s="25" t="str">
        <f t="shared" si="19"/>
        <v>Б.2</v>
      </c>
      <c r="AC7" s="25" t="str">
        <f t="shared" si="20"/>
        <v/>
      </c>
    </row>
    <row r="10" spans="1:29" x14ac:dyDescent="0.3">
      <c r="A10" s="26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83"/>
  <sheetViews>
    <sheetView workbookViewId="0"/>
  </sheetViews>
  <sheetFormatPr defaultRowHeight="14.4" x14ac:dyDescent="0.3"/>
  <sheetData>
    <row r="1" spans="1:2" ht="15.6" x14ac:dyDescent="0.3">
      <c r="A1" s="27" t="s">
        <v>114</v>
      </c>
    </row>
    <row r="2" spans="1:2" ht="15.6" x14ac:dyDescent="0.3">
      <c r="A2" s="24" t="s">
        <v>62</v>
      </c>
      <c r="B2" s="24" t="s">
        <v>63</v>
      </c>
    </row>
    <row r="3" spans="1:2" ht="15.6" x14ac:dyDescent="0.3">
      <c r="A3" s="25">
        <v>1.4999999999999999E-2</v>
      </c>
      <c r="B3" s="25">
        <v>0.20200000000000001</v>
      </c>
    </row>
    <row r="4" spans="1:2" ht="15.6" x14ac:dyDescent="0.3">
      <c r="A4" s="25">
        <v>1.6E-2</v>
      </c>
      <c r="B4" s="25">
        <v>0.20499999999999999</v>
      </c>
    </row>
    <row r="5" spans="1:2" ht="15.6" x14ac:dyDescent="0.3">
      <c r="A5" s="25">
        <v>1.7000000000000001E-2</v>
      </c>
      <c r="B5" s="25">
        <v>0.20699999999999999</v>
      </c>
    </row>
    <row r="6" spans="1:2" ht="15.6" x14ac:dyDescent="0.3">
      <c r="A6" s="25">
        <v>1.7999999999999999E-2</v>
      </c>
      <c r="B6" s="25">
        <v>0.21</v>
      </c>
    </row>
    <row r="7" spans="1:2" ht="15.6" x14ac:dyDescent="0.3">
      <c r="A7" s="25">
        <v>1.9E-2</v>
      </c>
      <c r="B7" s="25">
        <v>0.21199999999999999</v>
      </c>
    </row>
    <row r="8" spans="1:2" ht="15.6" x14ac:dyDescent="0.3">
      <c r="A8" s="25">
        <v>0.02</v>
      </c>
      <c r="B8" s="25">
        <v>0.215</v>
      </c>
    </row>
    <row r="9" spans="1:2" ht="15.6" x14ac:dyDescent="0.3">
      <c r="A9" s="25">
        <v>2.1000000000000001E-2</v>
      </c>
      <c r="B9" s="25">
        <v>0.217</v>
      </c>
    </row>
    <row r="10" spans="1:2" ht="15.6" x14ac:dyDescent="0.3">
      <c r="A10" s="25">
        <v>2.1999999999999999E-2</v>
      </c>
      <c r="B10" s="25">
        <v>0.219</v>
      </c>
    </row>
    <row r="11" spans="1:2" ht="15.6" x14ac:dyDescent="0.3">
      <c r="A11" s="25">
        <v>2.3E-2</v>
      </c>
      <c r="B11" s="25">
        <v>0.222</v>
      </c>
    </row>
    <row r="12" spans="1:2" ht="15.6" x14ac:dyDescent="0.3">
      <c r="A12" s="25">
        <v>2.4E-2</v>
      </c>
      <c r="B12" s="25">
        <v>0.224</v>
      </c>
    </row>
    <row r="13" spans="1:2" ht="15.6" x14ac:dyDescent="0.3">
      <c r="A13" s="25">
        <v>2.5000000000000001E-2</v>
      </c>
      <c r="B13" s="25">
        <v>0.22600000000000001</v>
      </c>
    </row>
    <row r="14" spans="1:2" ht="15.6" x14ac:dyDescent="0.3">
      <c r="A14" s="25">
        <v>2.5999999999999999E-2</v>
      </c>
      <c r="B14" s="25">
        <v>0.22800000000000001</v>
      </c>
    </row>
    <row r="15" spans="1:2" ht="15.6" x14ac:dyDescent="0.3">
      <c r="A15" s="25">
        <v>2.7E-2</v>
      </c>
      <c r="B15" s="25">
        <v>0.23</v>
      </c>
    </row>
    <row r="16" spans="1:2" ht="15.6" x14ac:dyDescent="0.3">
      <c r="A16" s="25">
        <v>2.8000000000000001E-2</v>
      </c>
      <c r="B16" s="25">
        <v>0.23300000000000001</v>
      </c>
    </row>
    <row r="17" spans="1:2" ht="15.6" x14ac:dyDescent="0.3">
      <c r="A17" s="25">
        <v>2.9000000000000001E-2</v>
      </c>
      <c r="B17" s="25">
        <v>0.23499999999999999</v>
      </c>
    </row>
    <row r="18" spans="1:2" ht="15.6" x14ac:dyDescent="0.3">
      <c r="A18" s="25">
        <v>0.03</v>
      </c>
      <c r="B18" s="25">
        <v>0.23699999999999999</v>
      </c>
    </row>
    <row r="19" spans="1:2" ht="15.6" x14ac:dyDescent="0.3">
      <c r="A19" s="25">
        <v>3.1E-2</v>
      </c>
      <c r="B19" s="25">
        <v>0.23899999999999999</v>
      </c>
    </row>
    <row r="20" spans="1:2" ht="15.6" x14ac:dyDescent="0.3">
      <c r="A20" s="25">
        <v>3.2000000000000001E-2</v>
      </c>
      <c r="B20" s="25">
        <v>0.24099999999999999</v>
      </c>
    </row>
    <row r="21" spans="1:2" ht="15.6" x14ac:dyDescent="0.3">
      <c r="A21" s="25">
        <v>3.3000000000000002E-2</v>
      </c>
      <c r="B21" s="25">
        <v>0.24299999999999999</v>
      </c>
    </row>
    <row r="22" spans="1:2" ht="15.6" x14ac:dyDescent="0.3">
      <c r="A22" s="25">
        <v>3.4000000000000002E-2</v>
      </c>
      <c r="B22" s="25">
        <v>0.245</v>
      </c>
    </row>
    <row r="23" spans="1:2" ht="15.6" x14ac:dyDescent="0.3">
      <c r="A23" s="25">
        <v>3.5000000000000003E-2</v>
      </c>
      <c r="B23" s="25">
        <v>0.247</v>
      </c>
    </row>
    <row r="24" spans="1:2" ht="15.6" x14ac:dyDescent="0.3">
      <c r="A24" s="25">
        <v>3.5999999999999997E-2</v>
      </c>
      <c r="B24" s="25">
        <v>0.249</v>
      </c>
    </row>
    <row r="25" spans="1:2" ht="15.6" x14ac:dyDescent="0.3">
      <c r="A25" s="25">
        <v>3.6999999999999998E-2</v>
      </c>
      <c r="B25" s="25">
        <v>0.25</v>
      </c>
    </row>
    <row r="26" spans="1:2" ht="15.6" x14ac:dyDescent="0.3">
      <c r="A26" s="25">
        <v>3.7999999999999999E-2</v>
      </c>
      <c r="B26" s="25">
        <v>0.252</v>
      </c>
    </row>
    <row r="27" spans="1:2" ht="15.6" x14ac:dyDescent="0.3">
      <c r="A27" s="25">
        <v>3.9E-2</v>
      </c>
      <c r="B27" s="25">
        <v>0.254</v>
      </c>
    </row>
    <row r="28" spans="1:2" ht="15.6" x14ac:dyDescent="0.3">
      <c r="A28" s="25">
        <v>0.04</v>
      </c>
      <c r="B28" s="25">
        <v>0.25600000000000001</v>
      </c>
    </row>
    <row r="29" spans="1:2" ht="15.6" x14ac:dyDescent="0.3">
      <c r="A29" s="25">
        <v>4.1000000000000002E-2</v>
      </c>
      <c r="B29" s="25">
        <v>0.25800000000000001</v>
      </c>
    </row>
    <row r="30" spans="1:2" ht="15.6" x14ac:dyDescent="0.3">
      <c r="A30" s="25">
        <v>4.2000000000000003E-2</v>
      </c>
      <c r="B30" s="25">
        <v>0.25900000000000001</v>
      </c>
    </row>
    <row r="31" spans="1:2" ht="15.6" x14ac:dyDescent="0.3">
      <c r="A31" s="25">
        <v>4.2999999999999997E-2</v>
      </c>
      <c r="B31" s="25">
        <v>0.26100000000000001</v>
      </c>
    </row>
    <row r="32" spans="1:2" ht="15.6" x14ac:dyDescent="0.3">
      <c r="A32" s="25">
        <v>4.3999999999999997E-2</v>
      </c>
      <c r="B32" s="25">
        <v>0.26300000000000001</v>
      </c>
    </row>
    <row r="33" spans="1:2" ht="15.6" x14ac:dyDescent="0.3">
      <c r="A33" s="25">
        <v>4.4999999999999998E-2</v>
      </c>
      <c r="B33" s="25">
        <v>0.26500000000000001</v>
      </c>
    </row>
    <row r="34" spans="1:2" ht="15.6" x14ac:dyDescent="0.3">
      <c r="A34" s="25">
        <v>4.5999999999999999E-2</v>
      </c>
      <c r="B34" s="25">
        <v>0.26600000000000001</v>
      </c>
    </row>
    <row r="35" spans="1:2" ht="15.6" x14ac:dyDescent="0.3">
      <c r="A35" s="25">
        <v>4.7E-2</v>
      </c>
      <c r="B35" s="25">
        <v>0.26800000000000002</v>
      </c>
    </row>
    <row r="36" spans="1:2" ht="15.6" x14ac:dyDescent="0.3">
      <c r="A36" s="25">
        <v>4.8000000000000001E-2</v>
      </c>
      <c r="B36" s="25">
        <v>0.27</v>
      </c>
    </row>
    <row r="37" spans="1:2" ht="15.6" x14ac:dyDescent="0.3">
      <c r="A37" s="25">
        <v>4.9000000000000002E-2</v>
      </c>
      <c r="B37" s="25">
        <v>0.27100000000000002</v>
      </c>
    </row>
    <row r="38" spans="1:2" ht="15.6" x14ac:dyDescent="0.3">
      <c r="A38" s="25">
        <v>0.05</v>
      </c>
      <c r="B38" s="25">
        <v>0.27300000000000002</v>
      </c>
    </row>
    <row r="39" spans="1:2" ht="15.6" x14ac:dyDescent="0.3">
      <c r="A39" s="25">
        <v>5.1999999999999998E-2</v>
      </c>
      <c r="B39" s="25">
        <v>0.27600000000000002</v>
      </c>
    </row>
    <row r="40" spans="1:2" ht="15.6" x14ac:dyDescent="0.3">
      <c r="A40" s="25">
        <v>5.3999999999999999E-2</v>
      </c>
      <c r="B40" s="25">
        <v>0.28000000000000003</v>
      </c>
    </row>
    <row r="41" spans="1:2" ht="15.6" x14ac:dyDescent="0.3">
      <c r="A41" s="25">
        <v>5.6000000000000001E-2</v>
      </c>
      <c r="B41" s="25">
        <v>0.28299999999999997</v>
      </c>
    </row>
    <row r="42" spans="1:2" ht="15.6" x14ac:dyDescent="0.3">
      <c r="A42" s="25">
        <v>5.8000000000000003E-2</v>
      </c>
      <c r="B42" s="25">
        <v>0.28599999999999998</v>
      </c>
    </row>
    <row r="43" spans="1:2" ht="15.6" x14ac:dyDescent="0.3">
      <c r="A43" s="25">
        <v>0.06</v>
      </c>
      <c r="B43" s="25">
        <v>0.28899999999999998</v>
      </c>
    </row>
    <row r="44" spans="1:2" ht="15.6" x14ac:dyDescent="0.3">
      <c r="A44" s="25">
        <v>6.2E-2</v>
      </c>
      <c r="B44" s="25">
        <v>0.29199999999999998</v>
      </c>
    </row>
    <row r="45" spans="1:2" ht="15.6" x14ac:dyDescent="0.3">
      <c r="A45" s="25">
        <v>6.4000000000000001E-2</v>
      </c>
      <c r="B45" s="25">
        <v>0.29499999999999998</v>
      </c>
    </row>
    <row r="46" spans="1:2" ht="15.6" x14ac:dyDescent="0.3">
      <c r="A46" s="25">
        <v>6.5000000000000002E-2</v>
      </c>
      <c r="B46" s="25">
        <v>0.29799999999999999</v>
      </c>
    </row>
    <row r="47" spans="1:2" ht="15.6" x14ac:dyDescent="0.3">
      <c r="A47" s="25">
        <v>6.8000000000000005E-2</v>
      </c>
      <c r="B47" s="25">
        <v>0.30099999999999999</v>
      </c>
    </row>
    <row r="48" spans="1:2" ht="15.6" x14ac:dyDescent="0.3">
      <c r="A48" s="25">
        <v>7.0000000000000007E-2</v>
      </c>
      <c r="B48" s="25">
        <v>0.30399999999999999</v>
      </c>
    </row>
    <row r="49" spans="1:2" ht="15.6" x14ac:dyDescent="0.3">
      <c r="A49" s="25">
        <v>7.1999999999999995E-2</v>
      </c>
      <c r="B49" s="25">
        <v>0.307</v>
      </c>
    </row>
    <row r="50" spans="1:2" ht="15.6" x14ac:dyDescent="0.3">
      <c r="A50" s="25">
        <v>7.3999999999999996E-2</v>
      </c>
      <c r="B50" s="25">
        <v>0.309</v>
      </c>
    </row>
    <row r="51" spans="1:2" ht="15.6" x14ac:dyDescent="0.3">
      <c r="A51" s="25">
        <v>7.5999999999999998E-2</v>
      </c>
      <c r="B51" s="25">
        <v>0.312</v>
      </c>
    </row>
    <row r="52" spans="1:2" ht="15.6" x14ac:dyDescent="0.3">
      <c r="A52" s="25">
        <v>7.8E-2</v>
      </c>
      <c r="B52" s="25">
        <v>0.315</v>
      </c>
    </row>
    <row r="53" spans="1:2" ht="15.6" x14ac:dyDescent="0.3">
      <c r="A53" s="25">
        <v>0.08</v>
      </c>
      <c r="B53" s="25">
        <v>0.318</v>
      </c>
    </row>
    <row r="54" spans="1:2" ht="15.6" x14ac:dyDescent="0.3">
      <c r="A54" s="25">
        <v>8.2000000000000003E-2</v>
      </c>
      <c r="B54" s="25">
        <v>0.32</v>
      </c>
    </row>
    <row r="55" spans="1:2" ht="15.6" x14ac:dyDescent="0.3">
      <c r="A55" s="25">
        <v>8.4000000000000005E-2</v>
      </c>
      <c r="B55" s="25">
        <v>0.32300000000000001</v>
      </c>
    </row>
    <row r="56" spans="1:2" ht="15.6" x14ac:dyDescent="0.3">
      <c r="A56" s="25">
        <v>8.5999999999999993E-2</v>
      </c>
      <c r="B56" s="25">
        <v>0.32600000000000001</v>
      </c>
    </row>
    <row r="57" spans="1:2" ht="15.6" x14ac:dyDescent="0.3">
      <c r="A57" s="25">
        <v>8.7999999999999995E-2</v>
      </c>
      <c r="B57" s="25">
        <v>0.32800000000000001</v>
      </c>
    </row>
    <row r="58" spans="1:2" ht="15.6" x14ac:dyDescent="0.3">
      <c r="A58" s="25">
        <v>0.09</v>
      </c>
      <c r="B58" s="25">
        <v>0.33100000000000002</v>
      </c>
    </row>
    <row r="59" spans="1:2" ht="15.6" x14ac:dyDescent="0.3">
      <c r="A59" s="25">
        <v>9.1999999999999998E-2</v>
      </c>
      <c r="B59" s="25">
        <v>0.33300000000000002</v>
      </c>
    </row>
    <row r="60" spans="1:2" ht="15.6" x14ac:dyDescent="0.3">
      <c r="A60" s="25">
        <v>9.4E-2</v>
      </c>
      <c r="B60" s="25">
        <v>0.33600000000000002</v>
      </c>
    </row>
    <row r="61" spans="1:2" ht="15.6" x14ac:dyDescent="0.3">
      <c r="A61" s="25">
        <v>9.6000000000000002E-2</v>
      </c>
      <c r="B61" s="25">
        <v>0.33800000000000002</v>
      </c>
    </row>
    <row r="62" spans="1:2" ht="15.6" x14ac:dyDescent="0.3">
      <c r="A62" s="25">
        <v>9.8000000000000004E-2</v>
      </c>
      <c r="B62" s="25">
        <v>0.34100000000000003</v>
      </c>
    </row>
    <row r="63" spans="1:2" ht="15.6" x14ac:dyDescent="0.3">
      <c r="A63" s="25">
        <v>0.1</v>
      </c>
      <c r="B63" s="25">
        <v>0.34300000000000003</v>
      </c>
    </row>
    <row r="64" spans="1:2" ht="15.6" x14ac:dyDescent="0.3">
      <c r="A64" s="25">
        <v>0.105</v>
      </c>
      <c r="B64" s="25">
        <v>0.34899999999999998</v>
      </c>
    </row>
    <row r="65" spans="1:2" ht="15.6" x14ac:dyDescent="0.3">
      <c r="A65" s="25">
        <v>0.11</v>
      </c>
      <c r="B65" s="25">
        <v>0.35499999999999998</v>
      </c>
    </row>
    <row r="66" spans="1:2" ht="15.6" x14ac:dyDescent="0.3">
      <c r="A66" s="25">
        <v>0.115</v>
      </c>
      <c r="B66" s="25">
        <v>0.36099999999999999</v>
      </c>
    </row>
    <row r="67" spans="1:2" ht="15.6" x14ac:dyDescent="0.3">
      <c r="A67" s="25">
        <v>0.12</v>
      </c>
      <c r="B67" s="25">
        <v>0.36699999999999999</v>
      </c>
    </row>
    <row r="68" spans="1:2" ht="15.6" x14ac:dyDescent="0.3">
      <c r="A68" s="25">
        <v>0.125</v>
      </c>
      <c r="B68" s="25">
        <v>0.373</v>
      </c>
    </row>
    <row r="69" spans="1:2" ht="15.6" x14ac:dyDescent="0.3">
      <c r="A69" s="25">
        <v>0.13</v>
      </c>
      <c r="B69" s="25">
        <v>0.378</v>
      </c>
    </row>
    <row r="70" spans="1:2" ht="15.6" x14ac:dyDescent="0.3">
      <c r="A70" s="25">
        <v>0.13500000000000001</v>
      </c>
      <c r="B70" s="25">
        <v>0.38400000000000001</v>
      </c>
    </row>
    <row r="71" spans="1:2" ht="15.6" x14ac:dyDescent="0.3">
      <c r="A71" s="25">
        <v>0.14000000000000001</v>
      </c>
      <c r="B71" s="25">
        <v>0.38900000000000001</v>
      </c>
    </row>
    <row r="72" spans="1:2" ht="15.6" x14ac:dyDescent="0.3">
      <c r="A72" s="25">
        <v>0.14499999999999999</v>
      </c>
      <c r="B72" s="25">
        <v>0.39400000000000002</v>
      </c>
    </row>
    <row r="73" spans="1:2" ht="15.6" x14ac:dyDescent="0.3">
      <c r="A73" s="25">
        <v>0.15</v>
      </c>
      <c r="B73" s="25">
        <v>0.39900000000000002</v>
      </c>
    </row>
    <row r="74" spans="1:2" ht="15.6" x14ac:dyDescent="0.3">
      <c r="A74" s="25">
        <v>0.155</v>
      </c>
      <c r="B74" s="25">
        <v>0.40500000000000003</v>
      </c>
    </row>
    <row r="75" spans="1:2" ht="15.6" x14ac:dyDescent="0.3">
      <c r="A75" s="25">
        <v>0.16</v>
      </c>
      <c r="B75" s="25">
        <v>0.41</v>
      </c>
    </row>
    <row r="76" spans="1:2" ht="15.6" x14ac:dyDescent="0.3">
      <c r="A76" s="25">
        <v>0.16500000000000001</v>
      </c>
      <c r="B76" s="25">
        <v>0.41499999999999998</v>
      </c>
    </row>
    <row r="77" spans="1:2" ht="15.6" x14ac:dyDescent="0.3">
      <c r="A77" s="25">
        <v>0.17</v>
      </c>
      <c r="B77" s="25">
        <v>0.42</v>
      </c>
    </row>
    <row r="78" spans="1:2" ht="15.6" x14ac:dyDescent="0.3">
      <c r="A78" s="25">
        <v>0.17499999999999999</v>
      </c>
      <c r="B78" s="25">
        <v>0.42499999999999999</v>
      </c>
    </row>
    <row r="79" spans="1:2" ht="15.6" x14ac:dyDescent="0.3">
      <c r="A79" s="25">
        <v>0.18</v>
      </c>
      <c r="B79" s="25">
        <v>0.43</v>
      </c>
    </row>
    <row r="80" spans="1:2" ht="15.6" x14ac:dyDescent="0.3">
      <c r="A80" s="25">
        <v>0.185</v>
      </c>
      <c r="B80" s="25">
        <v>0.435</v>
      </c>
    </row>
    <row r="81" spans="1:2" ht="15.6" x14ac:dyDescent="0.3">
      <c r="A81" s="25">
        <v>0.19</v>
      </c>
      <c r="B81" s="25">
        <v>0.439</v>
      </c>
    </row>
    <row r="82" spans="1:2" ht="15.6" x14ac:dyDescent="0.3">
      <c r="A82" s="25">
        <v>0.19500000000000001</v>
      </c>
      <c r="B82" s="25">
        <v>0.44400000000000001</v>
      </c>
    </row>
    <row r="83" spans="1:2" ht="15.6" x14ac:dyDescent="0.3">
      <c r="A83" s="25">
        <v>0.2</v>
      </c>
      <c r="B83" s="25">
        <v>0.44900000000000001</v>
      </c>
    </row>
    <row r="84" spans="1:2" ht="15.6" x14ac:dyDescent="0.3">
      <c r="A84" s="25">
        <v>0.21</v>
      </c>
      <c r="B84" s="25">
        <v>0.45800000000000002</v>
      </c>
    </row>
    <row r="85" spans="1:2" ht="15.6" x14ac:dyDescent="0.3">
      <c r="A85" s="25">
        <v>0.22</v>
      </c>
      <c r="B85" s="25">
        <v>0.46700000000000003</v>
      </c>
    </row>
    <row r="86" spans="1:2" ht="15.6" x14ac:dyDescent="0.3">
      <c r="A86" s="25">
        <v>0.23</v>
      </c>
      <c r="B86" s="25">
        <v>0.47599999999999998</v>
      </c>
    </row>
    <row r="87" spans="1:2" ht="15.6" x14ac:dyDescent="0.3">
      <c r="A87" s="25">
        <v>0.24</v>
      </c>
      <c r="B87" s="25">
        <v>0.48499999999999999</v>
      </c>
    </row>
    <row r="88" spans="1:2" ht="15.6" x14ac:dyDescent="0.3">
      <c r="A88" s="25">
        <v>0.25</v>
      </c>
      <c r="B88" s="25">
        <v>0.49299999999999999</v>
      </c>
    </row>
    <row r="89" spans="1:2" ht="15.6" x14ac:dyDescent="0.3">
      <c r="A89" s="25">
        <v>0.26</v>
      </c>
      <c r="B89" s="25">
        <v>0.502</v>
      </c>
    </row>
    <row r="90" spans="1:2" ht="15.6" x14ac:dyDescent="0.3">
      <c r="A90" s="25">
        <v>0.27</v>
      </c>
      <c r="B90" s="25">
        <v>0.51</v>
      </c>
    </row>
    <row r="91" spans="1:2" ht="15.6" x14ac:dyDescent="0.3">
      <c r="A91" s="25">
        <v>0.28000000000000003</v>
      </c>
      <c r="B91" s="25">
        <v>0.51800000000000002</v>
      </c>
    </row>
    <row r="92" spans="1:2" ht="15.6" x14ac:dyDescent="0.3">
      <c r="A92" s="25">
        <v>0.28999999999999998</v>
      </c>
      <c r="B92" s="25">
        <v>0.52600000000000002</v>
      </c>
    </row>
    <row r="93" spans="1:2" ht="15.6" x14ac:dyDescent="0.3">
      <c r="A93" s="25">
        <v>0.3</v>
      </c>
      <c r="B93" s="25">
        <v>0.53400000000000003</v>
      </c>
    </row>
    <row r="94" spans="1:2" ht="15.6" x14ac:dyDescent="0.3">
      <c r="A94" s="25">
        <v>0.31</v>
      </c>
      <c r="B94" s="25">
        <v>0.54200000000000004</v>
      </c>
    </row>
    <row r="95" spans="1:2" ht="15.6" x14ac:dyDescent="0.3">
      <c r="A95" s="25">
        <v>0.32</v>
      </c>
      <c r="B95" s="25">
        <v>0.55000000000000004</v>
      </c>
    </row>
    <row r="96" spans="1:2" ht="15.6" x14ac:dyDescent="0.3">
      <c r="A96" s="25">
        <v>0.33</v>
      </c>
      <c r="B96" s="25">
        <v>0.55800000000000005</v>
      </c>
    </row>
    <row r="97" spans="1:2" ht="15.6" x14ac:dyDescent="0.3">
      <c r="A97" s="25">
        <v>0.34</v>
      </c>
      <c r="B97" s="25">
        <v>0.56499999999999995</v>
      </c>
    </row>
    <row r="98" spans="1:2" ht="15.6" x14ac:dyDescent="0.3">
      <c r="A98" s="25">
        <v>0.35</v>
      </c>
      <c r="B98" s="25">
        <v>0.57299999999999995</v>
      </c>
    </row>
    <row r="99" spans="1:2" ht="15.6" x14ac:dyDescent="0.3">
      <c r="A99" s="25">
        <v>0.36</v>
      </c>
      <c r="B99" s="25">
        <v>0.57999999999999996</v>
      </c>
    </row>
    <row r="100" spans="1:2" ht="15.6" x14ac:dyDescent="0.3">
      <c r="A100" s="25">
        <v>0.37</v>
      </c>
      <c r="B100" s="25">
        <v>0.58799999999999997</v>
      </c>
    </row>
    <row r="101" spans="1:2" ht="15.6" x14ac:dyDescent="0.3">
      <c r="A101" s="25">
        <v>0.38</v>
      </c>
      <c r="B101" s="25">
        <v>0.59499999999999997</v>
      </c>
    </row>
    <row r="102" spans="1:2" ht="15.6" x14ac:dyDescent="0.3">
      <c r="A102" s="25">
        <v>0.39</v>
      </c>
      <c r="B102" s="25">
        <v>0.60199999999999998</v>
      </c>
    </row>
    <row r="103" spans="1:2" ht="15.6" x14ac:dyDescent="0.3">
      <c r="A103" s="25">
        <v>0.4</v>
      </c>
      <c r="B103" s="25">
        <v>0.61</v>
      </c>
    </row>
    <row r="104" spans="1:2" ht="15.6" x14ac:dyDescent="0.3">
      <c r="A104" s="25">
        <v>0.41</v>
      </c>
      <c r="B104" s="25">
        <v>0.61699999999999999</v>
      </c>
    </row>
    <row r="105" spans="1:2" ht="15.6" x14ac:dyDescent="0.3">
      <c r="A105" s="25">
        <v>0.42</v>
      </c>
      <c r="B105" s="25">
        <v>0.624</v>
      </c>
    </row>
    <row r="106" spans="1:2" ht="15.6" x14ac:dyDescent="0.3">
      <c r="A106" s="25">
        <v>0.43</v>
      </c>
      <c r="B106" s="25">
        <v>0.63100000000000001</v>
      </c>
    </row>
    <row r="107" spans="1:2" ht="15.6" x14ac:dyDescent="0.3">
      <c r="A107" s="25">
        <v>0.44</v>
      </c>
      <c r="B107" s="25">
        <v>0.63800000000000001</v>
      </c>
    </row>
    <row r="108" spans="1:2" ht="15.6" x14ac:dyDescent="0.3">
      <c r="A108" s="25">
        <v>0.45</v>
      </c>
      <c r="B108" s="25">
        <v>0.64500000000000002</v>
      </c>
    </row>
    <row r="109" spans="1:2" ht="15.6" x14ac:dyDescent="0.3">
      <c r="A109" s="25">
        <v>0.46</v>
      </c>
      <c r="B109" s="25">
        <v>0.65200000000000002</v>
      </c>
    </row>
    <row r="110" spans="1:2" ht="15.6" x14ac:dyDescent="0.3">
      <c r="A110" s="25">
        <v>0.47</v>
      </c>
      <c r="B110" s="25">
        <v>0.65800000000000003</v>
      </c>
    </row>
    <row r="111" spans="1:2" ht="15.6" x14ac:dyDescent="0.3">
      <c r="A111" s="25">
        <v>0.48</v>
      </c>
      <c r="B111" s="25">
        <v>0.66500000000000004</v>
      </c>
    </row>
    <row r="112" spans="1:2" ht="15.6" x14ac:dyDescent="0.3">
      <c r="A112" s="25">
        <v>0.49</v>
      </c>
      <c r="B112" s="25">
        <v>0.67200000000000004</v>
      </c>
    </row>
    <row r="113" spans="1:2" ht="15.6" x14ac:dyDescent="0.3">
      <c r="A113" s="25">
        <v>0.5</v>
      </c>
      <c r="B113" s="25">
        <v>0.67800000000000005</v>
      </c>
    </row>
    <row r="114" spans="1:2" ht="15.6" x14ac:dyDescent="0.3">
      <c r="A114" s="25">
        <v>0.52</v>
      </c>
      <c r="B114" s="25">
        <v>0.69199999999999995</v>
      </c>
    </row>
    <row r="115" spans="1:2" ht="15.6" x14ac:dyDescent="0.3">
      <c r="A115" s="25">
        <v>0.54</v>
      </c>
      <c r="B115" s="25">
        <v>0.70399999999999996</v>
      </c>
    </row>
    <row r="116" spans="1:2" ht="15.6" x14ac:dyDescent="0.3">
      <c r="A116" s="25">
        <v>0.56000000000000005</v>
      </c>
      <c r="B116" s="25">
        <v>0.71699999999999997</v>
      </c>
    </row>
    <row r="117" spans="1:2" ht="15.6" x14ac:dyDescent="0.3">
      <c r="A117" s="25">
        <v>0.57999999999999996</v>
      </c>
      <c r="B117" s="25">
        <v>0.73</v>
      </c>
    </row>
    <row r="118" spans="1:2" ht="15.6" x14ac:dyDescent="0.3">
      <c r="A118" s="25">
        <v>0.6</v>
      </c>
      <c r="B118" s="25">
        <v>0.74199999999999999</v>
      </c>
    </row>
    <row r="119" spans="1:2" ht="15.6" x14ac:dyDescent="0.3">
      <c r="A119" s="25">
        <v>0.62</v>
      </c>
      <c r="B119" s="25">
        <v>0.755</v>
      </c>
    </row>
    <row r="120" spans="1:2" ht="15.6" x14ac:dyDescent="0.3">
      <c r="A120" s="25">
        <v>0.64</v>
      </c>
      <c r="B120" s="25">
        <v>0.76700000000000002</v>
      </c>
    </row>
    <row r="121" spans="1:2" ht="15.6" x14ac:dyDescent="0.3">
      <c r="A121" s="25">
        <v>0.66</v>
      </c>
      <c r="B121" s="25">
        <v>0.77900000000000003</v>
      </c>
    </row>
    <row r="122" spans="1:2" ht="15.6" x14ac:dyDescent="0.3">
      <c r="A122" s="25">
        <v>0.68</v>
      </c>
      <c r="B122" s="25">
        <v>0.79100000000000004</v>
      </c>
    </row>
    <row r="123" spans="1:2" ht="15.6" x14ac:dyDescent="0.3">
      <c r="A123" s="25">
        <v>0.7</v>
      </c>
      <c r="B123" s="25">
        <v>0.80300000000000005</v>
      </c>
    </row>
    <row r="124" spans="1:2" ht="15.6" x14ac:dyDescent="0.3">
      <c r="A124" s="25">
        <v>0.72</v>
      </c>
      <c r="B124" s="25">
        <v>0.81499999999999995</v>
      </c>
    </row>
    <row r="125" spans="1:2" ht="15.6" x14ac:dyDescent="0.3">
      <c r="A125" s="25">
        <v>0.74</v>
      </c>
      <c r="B125" s="25">
        <v>0.82599999999999996</v>
      </c>
    </row>
    <row r="126" spans="1:2" ht="15.6" x14ac:dyDescent="0.3">
      <c r="A126" s="25">
        <v>0.76</v>
      </c>
      <c r="B126" s="25">
        <v>0.83799999999999997</v>
      </c>
    </row>
    <row r="127" spans="1:2" ht="15.6" x14ac:dyDescent="0.3">
      <c r="A127" s="25">
        <v>0.78</v>
      </c>
      <c r="B127" s="25">
        <v>0.84899999999999998</v>
      </c>
    </row>
    <row r="128" spans="1:2" ht="15.6" x14ac:dyDescent="0.3">
      <c r="A128" s="25">
        <v>0.8</v>
      </c>
      <c r="B128" s="25">
        <v>0.86</v>
      </c>
    </row>
    <row r="129" spans="1:2" ht="15.6" x14ac:dyDescent="0.3">
      <c r="A129" s="25">
        <v>0.82</v>
      </c>
      <c r="B129" s="25">
        <v>0.872</v>
      </c>
    </row>
    <row r="130" spans="1:2" ht="15.6" x14ac:dyDescent="0.3">
      <c r="A130" s="25">
        <v>0.84</v>
      </c>
      <c r="B130" s="25">
        <v>0.88300000000000001</v>
      </c>
    </row>
    <row r="131" spans="1:2" ht="15.6" x14ac:dyDescent="0.3">
      <c r="A131" s="25">
        <v>0.86</v>
      </c>
      <c r="B131" s="25">
        <v>0.89400000000000002</v>
      </c>
    </row>
    <row r="132" spans="1:2" ht="15.6" x14ac:dyDescent="0.3">
      <c r="A132" s="25">
        <v>0.88</v>
      </c>
      <c r="B132" s="25">
        <v>0.90500000000000003</v>
      </c>
    </row>
    <row r="133" spans="1:2" ht="15.6" x14ac:dyDescent="0.3">
      <c r="A133" s="25">
        <v>0.9</v>
      </c>
      <c r="B133" s="25">
        <v>0.91600000000000004</v>
      </c>
    </row>
    <row r="134" spans="1:2" ht="15.6" x14ac:dyDescent="0.3">
      <c r="A134" s="25">
        <v>0.92</v>
      </c>
      <c r="B134" s="25">
        <v>0.92700000000000005</v>
      </c>
    </row>
    <row r="135" spans="1:2" ht="15.6" x14ac:dyDescent="0.3">
      <c r="A135" s="25">
        <v>0.94</v>
      </c>
      <c r="B135" s="25">
        <v>0.93700000000000006</v>
      </c>
    </row>
    <row r="136" spans="1:2" ht="15.6" x14ac:dyDescent="0.3">
      <c r="A136" s="25">
        <v>0.96</v>
      </c>
      <c r="B136" s="25">
        <v>0.94799999999999995</v>
      </c>
    </row>
    <row r="137" spans="1:2" ht="15.6" x14ac:dyDescent="0.3">
      <c r="A137" s="25">
        <v>0.98</v>
      </c>
      <c r="B137" s="25">
        <v>0.95899999999999996</v>
      </c>
    </row>
    <row r="138" spans="1:2" ht="15.6" x14ac:dyDescent="0.3">
      <c r="A138" s="25">
        <v>1</v>
      </c>
      <c r="B138" s="25">
        <v>0.96899999999999997</v>
      </c>
    </row>
    <row r="139" spans="1:2" ht="15.6" x14ac:dyDescent="0.3">
      <c r="A139" s="25">
        <v>1.05</v>
      </c>
      <c r="B139" s="25">
        <v>0.995</v>
      </c>
    </row>
    <row r="140" spans="1:2" ht="15.6" x14ac:dyDescent="0.3">
      <c r="A140" s="25">
        <v>1.1000000000000001</v>
      </c>
      <c r="B140" s="25">
        <v>1.0209999999999999</v>
      </c>
    </row>
    <row r="141" spans="1:2" ht="15.6" x14ac:dyDescent="0.3">
      <c r="A141" s="25">
        <v>1.1499999999999999</v>
      </c>
      <c r="B141" s="25">
        <v>1.046</v>
      </c>
    </row>
    <row r="142" spans="1:2" ht="15.6" x14ac:dyDescent="0.3">
      <c r="A142" s="25">
        <v>1.2</v>
      </c>
      <c r="B142" s="25">
        <v>1.071</v>
      </c>
    </row>
    <row r="143" spans="1:2" ht="15.6" x14ac:dyDescent="0.3">
      <c r="A143" s="25">
        <v>1.25</v>
      </c>
      <c r="B143" s="25">
        <v>1.0960000000000001</v>
      </c>
    </row>
    <row r="144" spans="1:2" ht="15.6" x14ac:dyDescent="0.3">
      <c r="A144" s="25">
        <v>1.3</v>
      </c>
      <c r="B144" s="25">
        <v>1.1200000000000001</v>
      </c>
    </row>
    <row r="145" spans="1:2" ht="15.6" x14ac:dyDescent="0.3">
      <c r="A145" s="25">
        <v>1.35</v>
      </c>
      <c r="B145" s="25">
        <v>1.1439999999999999</v>
      </c>
    </row>
    <row r="146" spans="1:2" ht="15.6" x14ac:dyDescent="0.3">
      <c r="A146" s="25">
        <v>1.4</v>
      </c>
      <c r="B146" s="25">
        <v>1.1679999999999999</v>
      </c>
    </row>
    <row r="147" spans="1:2" ht="15.6" x14ac:dyDescent="0.3">
      <c r="A147" s="25">
        <v>1.45</v>
      </c>
      <c r="B147" s="25">
        <v>1.1910000000000001</v>
      </c>
    </row>
    <row r="148" spans="1:2" ht="15.6" x14ac:dyDescent="0.3">
      <c r="A148" s="25">
        <v>1.5</v>
      </c>
      <c r="B148" s="25">
        <v>1.2150000000000001</v>
      </c>
    </row>
    <row r="149" spans="1:2" ht="15.6" x14ac:dyDescent="0.3">
      <c r="A149" s="25">
        <v>1.55</v>
      </c>
      <c r="B149" s="25">
        <v>1.238</v>
      </c>
    </row>
    <row r="150" spans="1:2" ht="15.6" x14ac:dyDescent="0.3">
      <c r="A150" s="25">
        <v>1.6</v>
      </c>
      <c r="B150" s="25">
        <v>1.2609999999999999</v>
      </c>
    </row>
    <row r="151" spans="1:2" ht="15.6" x14ac:dyDescent="0.3">
      <c r="A151" s="25">
        <v>1.65</v>
      </c>
      <c r="B151" s="25">
        <v>1.2829999999999999</v>
      </c>
    </row>
    <row r="152" spans="1:2" ht="15.6" x14ac:dyDescent="0.3">
      <c r="A152" s="25">
        <v>1.7</v>
      </c>
      <c r="B152" s="25">
        <v>1.306</v>
      </c>
    </row>
    <row r="153" spans="1:2" ht="15.6" x14ac:dyDescent="0.3">
      <c r="A153" s="25">
        <v>1.75</v>
      </c>
      <c r="B153" s="25">
        <v>1.3280000000000001</v>
      </c>
    </row>
    <row r="154" spans="1:2" ht="15.6" x14ac:dyDescent="0.3">
      <c r="A154" s="25">
        <v>1.8</v>
      </c>
      <c r="B154" s="25">
        <v>1.35</v>
      </c>
    </row>
    <row r="155" spans="1:2" ht="15.6" x14ac:dyDescent="0.3">
      <c r="A155" s="25">
        <v>1.85</v>
      </c>
      <c r="B155" s="25">
        <v>1.3720000000000001</v>
      </c>
    </row>
    <row r="156" spans="1:2" ht="15.6" x14ac:dyDescent="0.3">
      <c r="A156" s="25">
        <v>1.9</v>
      </c>
      <c r="B156" s="25">
        <v>1.3939999999999999</v>
      </c>
    </row>
    <row r="157" spans="1:2" ht="15.6" x14ac:dyDescent="0.3">
      <c r="A157" s="25">
        <v>1.95</v>
      </c>
      <c r="B157" s="25">
        <v>1.4159999999999999</v>
      </c>
    </row>
    <row r="158" spans="1:2" ht="15.6" x14ac:dyDescent="0.3">
      <c r="A158" s="25">
        <v>2</v>
      </c>
      <c r="B158" s="25">
        <v>1.4370000000000001</v>
      </c>
    </row>
    <row r="159" spans="1:2" ht="15.6" x14ac:dyDescent="0.3">
      <c r="A159" s="25">
        <v>2.1</v>
      </c>
      <c r="B159" s="25">
        <v>1.4790000000000001</v>
      </c>
    </row>
    <row r="160" spans="1:2" ht="15.6" x14ac:dyDescent="0.3">
      <c r="A160" s="25">
        <v>2.2000000000000002</v>
      </c>
      <c r="B160" s="25">
        <v>1.5209999999999999</v>
      </c>
    </row>
    <row r="161" spans="1:2" ht="15.6" x14ac:dyDescent="0.3">
      <c r="A161" s="25">
        <v>2.2999999999999998</v>
      </c>
      <c r="B161" s="25">
        <v>1.5629999999999999</v>
      </c>
    </row>
    <row r="162" spans="1:2" ht="15.6" x14ac:dyDescent="0.3">
      <c r="A162" s="25">
        <v>2.4</v>
      </c>
      <c r="B162" s="25">
        <v>1.6040000000000001</v>
      </c>
    </row>
    <row r="163" spans="1:2" ht="15.6" x14ac:dyDescent="0.3">
      <c r="A163" s="25">
        <v>2.5</v>
      </c>
      <c r="B163" s="25">
        <v>1.6439999999999999</v>
      </c>
    </row>
    <row r="164" spans="1:2" ht="15.6" x14ac:dyDescent="0.3">
      <c r="A164" s="25">
        <v>2.6</v>
      </c>
      <c r="B164" s="25">
        <v>1.6839999999999999</v>
      </c>
    </row>
    <row r="165" spans="1:2" ht="15.6" x14ac:dyDescent="0.3">
      <c r="A165" s="25">
        <v>2.7</v>
      </c>
      <c r="B165" s="25">
        <v>1.724</v>
      </c>
    </row>
    <row r="166" spans="1:2" ht="15.6" x14ac:dyDescent="0.3">
      <c r="A166" s="25">
        <v>2.8</v>
      </c>
      <c r="B166" s="25">
        <v>1.7629999999999999</v>
      </c>
    </row>
    <row r="167" spans="1:2" ht="15.6" x14ac:dyDescent="0.3">
      <c r="A167" s="25">
        <v>2.9</v>
      </c>
      <c r="B167" s="25">
        <v>1.802</v>
      </c>
    </row>
    <row r="168" spans="1:2" ht="15.6" x14ac:dyDescent="0.3">
      <c r="A168" s="25">
        <v>3</v>
      </c>
      <c r="B168" s="25">
        <v>1.84</v>
      </c>
    </row>
    <row r="169" spans="1:2" ht="15.6" x14ac:dyDescent="0.3">
      <c r="A169" s="25">
        <v>3.1</v>
      </c>
      <c r="B169" s="25">
        <v>1.879</v>
      </c>
    </row>
    <row r="170" spans="1:2" ht="15.6" x14ac:dyDescent="0.3">
      <c r="A170" s="25">
        <v>3.2</v>
      </c>
      <c r="B170" s="25">
        <v>1.917</v>
      </c>
    </row>
    <row r="171" spans="1:2" ht="15.6" x14ac:dyDescent="0.3">
      <c r="A171" s="25">
        <v>3.3</v>
      </c>
      <c r="B171" s="25">
        <v>1.954</v>
      </c>
    </row>
    <row r="172" spans="1:2" ht="15.6" x14ac:dyDescent="0.3">
      <c r="A172" s="25">
        <v>3.4</v>
      </c>
      <c r="B172" s="25">
        <v>1.9910000000000001</v>
      </c>
    </row>
    <row r="173" spans="1:2" ht="15.6" x14ac:dyDescent="0.3">
      <c r="A173" s="25">
        <v>3.5</v>
      </c>
      <c r="B173" s="25">
        <v>2.0289999999999999</v>
      </c>
    </row>
    <row r="174" spans="1:2" ht="15.6" x14ac:dyDescent="0.3">
      <c r="A174" s="25">
        <v>3.6</v>
      </c>
      <c r="B174" s="25">
        <v>2.0649999999999999</v>
      </c>
    </row>
    <row r="175" spans="1:2" ht="15.6" x14ac:dyDescent="0.3">
      <c r="A175" s="25">
        <v>3.7</v>
      </c>
      <c r="B175" s="25">
        <v>2.1019999999999999</v>
      </c>
    </row>
    <row r="176" spans="1:2" ht="15.6" x14ac:dyDescent="0.3">
      <c r="A176" s="25">
        <v>3.8</v>
      </c>
      <c r="B176" s="25">
        <v>2.1379999999999999</v>
      </c>
    </row>
    <row r="177" spans="1:2" ht="15.6" x14ac:dyDescent="0.3">
      <c r="A177" s="25">
        <v>3.9</v>
      </c>
      <c r="B177" s="25">
        <v>2.1739999999999999</v>
      </c>
    </row>
    <row r="178" spans="1:2" ht="15.6" x14ac:dyDescent="0.3">
      <c r="A178" s="25">
        <v>4</v>
      </c>
      <c r="B178" s="25">
        <v>2.21</v>
      </c>
    </row>
    <row r="179" spans="1:2" ht="15.6" x14ac:dyDescent="0.3">
      <c r="A179" s="25">
        <v>4.0999999999999996</v>
      </c>
      <c r="B179" s="25">
        <v>2.246</v>
      </c>
    </row>
    <row r="180" spans="1:2" ht="15.6" x14ac:dyDescent="0.3">
      <c r="A180" s="25">
        <v>4.2</v>
      </c>
      <c r="B180" s="25">
        <v>2.2810000000000001</v>
      </c>
    </row>
    <row r="181" spans="1:2" ht="15.6" x14ac:dyDescent="0.3">
      <c r="A181" s="25">
        <v>4.3</v>
      </c>
      <c r="B181" s="25">
        <v>2.3170000000000002</v>
      </c>
    </row>
    <row r="182" spans="1:2" ht="15.6" x14ac:dyDescent="0.3">
      <c r="A182" s="25">
        <v>4.4000000000000004</v>
      </c>
      <c r="B182" s="25">
        <v>2.3519999999999999</v>
      </c>
    </row>
    <row r="183" spans="1:2" ht="15.6" x14ac:dyDescent="0.3">
      <c r="A183" s="25">
        <v>4.5</v>
      </c>
      <c r="B183" s="25">
        <v>2.3860000000000001</v>
      </c>
    </row>
    <row r="184" spans="1:2" ht="15.6" x14ac:dyDescent="0.3">
      <c r="A184" s="25">
        <v>4.5999999999999996</v>
      </c>
      <c r="B184" s="25">
        <v>2.4209999999999998</v>
      </c>
    </row>
    <row r="185" spans="1:2" ht="15.6" x14ac:dyDescent="0.3">
      <c r="A185" s="25">
        <v>4.7</v>
      </c>
      <c r="B185" s="25">
        <v>2.456</v>
      </c>
    </row>
    <row r="186" spans="1:2" ht="15.6" x14ac:dyDescent="0.3">
      <c r="A186" s="25">
        <v>4.8</v>
      </c>
      <c r="B186" s="25">
        <v>2.4900000000000002</v>
      </c>
    </row>
    <row r="187" spans="1:2" ht="15.6" x14ac:dyDescent="0.3">
      <c r="A187" s="25">
        <v>4.9000000000000004</v>
      </c>
      <c r="B187" s="25">
        <v>2.524</v>
      </c>
    </row>
    <row r="188" spans="1:2" ht="15.6" x14ac:dyDescent="0.3">
      <c r="A188" s="25">
        <v>5</v>
      </c>
      <c r="B188" s="25">
        <v>2.5579999999999998</v>
      </c>
    </row>
    <row r="189" spans="1:2" ht="15.6" x14ac:dyDescent="0.3">
      <c r="A189" s="25">
        <v>5.0999999999999996</v>
      </c>
      <c r="B189" s="25">
        <v>2.5920000000000001</v>
      </c>
    </row>
    <row r="190" spans="1:2" ht="15.6" x14ac:dyDescent="0.3">
      <c r="A190" s="25">
        <v>5.2</v>
      </c>
      <c r="B190" s="25">
        <v>2.6259999999999999</v>
      </c>
    </row>
    <row r="191" spans="1:2" ht="15.6" x14ac:dyDescent="0.3">
      <c r="A191" s="25">
        <v>5.3</v>
      </c>
      <c r="B191" s="25">
        <v>2.66</v>
      </c>
    </row>
    <row r="192" spans="1:2" ht="15.6" x14ac:dyDescent="0.3">
      <c r="A192" s="25">
        <v>5.4</v>
      </c>
      <c r="B192" s="25">
        <v>2.6930000000000001</v>
      </c>
    </row>
    <row r="193" spans="1:2" ht="15.6" x14ac:dyDescent="0.3">
      <c r="A193" s="25">
        <v>5.5</v>
      </c>
      <c r="B193" s="25">
        <v>2.726</v>
      </c>
    </row>
    <row r="194" spans="1:2" ht="15.6" x14ac:dyDescent="0.3">
      <c r="A194" s="25">
        <v>5.6</v>
      </c>
      <c r="B194" s="25">
        <v>2.76</v>
      </c>
    </row>
    <row r="195" spans="1:2" ht="15.6" x14ac:dyDescent="0.3">
      <c r="A195" s="25">
        <v>5.7</v>
      </c>
      <c r="B195" s="25">
        <v>2.7930000000000001</v>
      </c>
    </row>
    <row r="196" spans="1:2" ht="15.6" x14ac:dyDescent="0.3">
      <c r="A196" s="25">
        <v>5.8</v>
      </c>
      <c r="B196" s="25">
        <v>2.8260000000000001</v>
      </c>
    </row>
    <row r="197" spans="1:2" ht="15.6" x14ac:dyDescent="0.3">
      <c r="A197" s="25">
        <v>5.9</v>
      </c>
      <c r="B197" s="25">
        <v>2.8580000000000001</v>
      </c>
    </row>
    <row r="198" spans="1:2" ht="15.6" x14ac:dyDescent="0.3">
      <c r="A198" s="25">
        <v>6</v>
      </c>
      <c r="B198" s="25">
        <v>2.891</v>
      </c>
    </row>
    <row r="199" spans="1:2" ht="15.6" x14ac:dyDescent="0.3">
      <c r="A199" s="25">
        <v>6.1</v>
      </c>
      <c r="B199" s="25">
        <v>2.9239999999999999</v>
      </c>
    </row>
    <row r="200" spans="1:2" ht="15.6" x14ac:dyDescent="0.3">
      <c r="A200" s="25">
        <v>6.2</v>
      </c>
      <c r="B200" s="25">
        <v>2.956</v>
      </c>
    </row>
    <row r="201" spans="1:2" ht="15.6" x14ac:dyDescent="0.3">
      <c r="A201" s="25">
        <v>6.3</v>
      </c>
      <c r="B201" s="25">
        <v>2.9889999999999999</v>
      </c>
    </row>
    <row r="202" spans="1:2" ht="15.6" x14ac:dyDescent="0.3">
      <c r="A202" s="25">
        <v>6.4</v>
      </c>
      <c r="B202" s="25">
        <v>3.0209999999999999</v>
      </c>
    </row>
    <row r="203" spans="1:2" ht="15.6" x14ac:dyDescent="0.3">
      <c r="A203" s="25">
        <v>6.5</v>
      </c>
      <c r="B203" s="25">
        <v>3.0529999999999999</v>
      </c>
    </row>
    <row r="204" spans="1:2" ht="15.6" x14ac:dyDescent="0.3">
      <c r="A204" s="25">
        <v>6.6</v>
      </c>
      <c r="B204" s="25">
        <v>3.085</v>
      </c>
    </row>
    <row r="205" spans="1:2" ht="15.6" x14ac:dyDescent="0.3">
      <c r="A205" s="25">
        <v>6.7</v>
      </c>
      <c r="B205" s="25">
        <v>3.117</v>
      </c>
    </row>
    <row r="206" spans="1:2" ht="15.6" x14ac:dyDescent="0.3">
      <c r="A206" s="25">
        <v>6.8</v>
      </c>
      <c r="B206" s="25">
        <v>3.149</v>
      </c>
    </row>
    <row r="207" spans="1:2" ht="15.6" x14ac:dyDescent="0.3">
      <c r="A207" s="25">
        <v>6.9</v>
      </c>
      <c r="B207" s="25">
        <v>3.181</v>
      </c>
    </row>
    <row r="208" spans="1:2" ht="15.6" x14ac:dyDescent="0.3">
      <c r="A208" s="25">
        <v>7</v>
      </c>
      <c r="B208" s="25">
        <v>3.2120000000000002</v>
      </c>
    </row>
    <row r="209" spans="1:2" ht="15.6" x14ac:dyDescent="0.3">
      <c r="A209" s="25">
        <v>7.1</v>
      </c>
      <c r="B209" s="25">
        <v>3.2440000000000002</v>
      </c>
    </row>
    <row r="210" spans="1:2" ht="15.6" x14ac:dyDescent="0.3">
      <c r="A210" s="25">
        <v>7.2</v>
      </c>
      <c r="B210" s="25">
        <v>3.2749999999999999</v>
      </c>
    </row>
    <row r="211" spans="1:2" ht="15.6" x14ac:dyDescent="0.3">
      <c r="A211" s="25">
        <v>7.3</v>
      </c>
      <c r="B211" s="25">
        <v>3.3069999999999999</v>
      </c>
    </row>
    <row r="212" spans="1:2" ht="15.6" x14ac:dyDescent="0.3">
      <c r="A212" s="25">
        <v>7.4</v>
      </c>
      <c r="B212" s="25">
        <v>3.3380000000000001</v>
      </c>
    </row>
    <row r="213" spans="1:2" ht="15.6" x14ac:dyDescent="0.3">
      <c r="A213" s="25">
        <v>7.5</v>
      </c>
      <c r="B213" s="25">
        <v>3.3690000000000002</v>
      </c>
    </row>
    <row r="214" spans="1:2" ht="15.6" x14ac:dyDescent="0.3">
      <c r="A214" s="25">
        <v>7.6</v>
      </c>
      <c r="B214" s="25">
        <v>3.4</v>
      </c>
    </row>
    <row r="215" spans="1:2" ht="15.6" x14ac:dyDescent="0.3">
      <c r="A215" s="25">
        <v>7.7</v>
      </c>
      <c r="B215" s="25">
        <v>3.431</v>
      </c>
    </row>
    <row r="216" spans="1:2" ht="15.6" x14ac:dyDescent="0.3">
      <c r="A216" s="25">
        <v>7.8</v>
      </c>
      <c r="B216" s="25">
        <v>3.4620000000000002</v>
      </c>
    </row>
    <row r="217" spans="1:2" ht="15.6" x14ac:dyDescent="0.3">
      <c r="A217" s="25">
        <v>7.9</v>
      </c>
      <c r="B217" s="25">
        <v>3.4929999999999999</v>
      </c>
    </row>
    <row r="218" spans="1:2" ht="15.6" x14ac:dyDescent="0.3">
      <c r="A218" s="25">
        <v>8</v>
      </c>
      <c r="B218" s="25">
        <v>3.524</v>
      </c>
    </row>
    <row r="219" spans="1:2" ht="15.6" x14ac:dyDescent="0.3">
      <c r="A219" s="25">
        <v>8.1</v>
      </c>
      <c r="B219" s="25">
        <v>3.5550000000000002</v>
      </c>
    </row>
    <row r="220" spans="1:2" ht="15.6" x14ac:dyDescent="0.3">
      <c r="A220" s="25">
        <v>8.1999999999999993</v>
      </c>
      <c r="B220" s="25">
        <v>3.585</v>
      </c>
    </row>
    <row r="221" spans="1:2" ht="15.6" x14ac:dyDescent="0.3">
      <c r="A221" s="25">
        <v>8.3000000000000007</v>
      </c>
      <c r="B221" s="25">
        <v>3.6160000000000001</v>
      </c>
    </row>
    <row r="222" spans="1:2" ht="15.6" x14ac:dyDescent="0.3">
      <c r="A222" s="25">
        <v>8.4</v>
      </c>
      <c r="B222" s="25">
        <v>3.6459999999999999</v>
      </c>
    </row>
    <row r="223" spans="1:2" ht="15.6" x14ac:dyDescent="0.3">
      <c r="A223" s="25">
        <v>8.5</v>
      </c>
      <c r="B223" s="25">
        <v>3.677</v>
      </c>
    </row>
    <row r="224" spans="1:2" ht="15.6" x14ac:dyDescent="0.3">
      <c r="A224" s="25">
        <v>8.6</v>
      </c>
      <c r="B224" s="25">
        <v>3.7069999999999999</v>
      </c>
    </row>
    <row r="225" spans="1:2" ht="15.6" x14ac:dyDescent="0.3">
      <c r="A225" s="25">
        <v>8.6999999999999993</v>
      </c>
      <c r="B225" s="25">
        <v>3.738</v>
      </c>
    </row>
    <row r="226" spans="1:2" ht="15.6" x14ac:dyDescent="0.3">
      <c r="A226" s="25">
        <v>8.8000000000000007</v>
      </c>
      <c r="B226" s="25">
        <v>3.7679999999999998</v>
      </c>
    </row>
    <row r="227" spans="1:2" ht="15.6" x14ac:dyDescent="0.3">
      <c r="A227" s="25">
        <v>8.9</v>
      </c>
      <c r="B227" s="25">
        <v>3.798</v>
      </c>
    </row>
    <row r="228" spans="1:2" ht="15.6" x14ac:dyDescent="0.3">
      <c r="A228" s="25">
        <v>9</v>
      </c>
      <c r="B228" s="25">
        <v>3.8279999999999998</v>
      </c>
    </row>
    <row r="229" spans="1:2" ht="15.6" x14ac:dyDescent="0.3">
      <c r="A229" s="25">
        <v>9.1</v>
      </c>
      <c r="B229" s="25">
        <v>3.8580000000000001</v>
      </c>
    </row>
    <row r="230" spans="1:2" ht="15.6" x14ac:dyDescent="0.3">
      <c r="A230" s="25">
        <v>9.1999999999999993</v>
      </c>
      <c r="B230" s="25">
        <v>3.8879999999999999</v>
      </c>
    </row>
    <row r="231" spans="1:2" ht="15.6" x14ac:dyDescent="0.3">
      <c r="A231" s="25">
        <v>9.3000000000000007</v>
      </c>
      <c r="B231" s="25">
        <v>3.9180000000000001</v>
      </c>
    </row>
    <row r="232" spans="1:2" ht="15.6" x14ac:dyDescent="0.3">
      <c r="A232" s="25">
        <v>9.4</v>
      </c>
      <c r="B232" s="25">
        <v>3.948</v>
      </c>
    </row>
    <row r="233" spans="1:2" ht="15.6" x14ac:dyDescent="0.3">
      <c r="A233" s="25">
        <v>9.5</v>
      </c>
      <c r="B233" s="25">
        <v>3.9780000000000002</v>
      </c>
    </row>
    <row r="234" spans="1:2" ht="15.6" x14ac:dyDescent="0.3">
      <c r="A234" s="25">
        <v>9.6</v>
      </c>
      <c r="B234" s="25">
        <v>4.008</v>
      </c>
    </row>
    <row r="235" spans="1:2" ht="15.6" x14ac:dyDescent="0.3">
      <c r="A235" s="25">
        <v>9.6999999999999993</v>
      </c>
      <c r="B235" s="25">
        <v>4.0369999999999999</v>
      </c>
    </row>
    <row r="236" spans="1:2" ht="15.6" x14ac:dyDescent="0.3">
      <c r="A236" s="25">
        <v>9.8000000000000007</v>
      </c>
      <c r="B236" s="25">
        <v>4.0670000000000002</v>
      </c>
    </row>
    <row r="237" spans="1:2" ht="15.6" x14ac:dyDescent="0.3">
      <c r="A237" s="25">
        <v>9.9</v>
      </c>
      <c r="B237" s="25">
        <v>4.0970000000000004</v>
      </c>
    </row>
    <row r="238" spans="1:2" ht="15.6" x14ac:dyDescent="0.3">
      <c r="A238" s="25">
        <v>10</v>
      </c>
      <c r="B238" s="25">
        <v>4.1260000000000003</v>
      </c>
    </row>
    <row r="239" spans="1:2" ht="15.6" x14ac:dyDescent="0.3">
      <c r="A239" s="25">
        <v>10.199999999999999</v>
      </c>
      <c r="B239" s="25">
        <v>4.1849999999999996</v>
      </c>
    </row>
    <row r="240" spans="1:2" ht="15.6" x14ac:dyDescent="0.3">
      <c r="A240" s="25">
        <v>10.4</v>
      </c>
      <c r="B240" s="25">
        <v>4.2439999999999998</v>
      </c>
    </row>
    <row r="241" spans="1:2" ht="15.6" x14ac:dyDescent="0.3">
      <c r="A241" s="25">
        <v>10.6</v>
      </c>
      <c r="B241" s="25">
        <v>4.3019999999999996</v>
      </c>
    </row>
    <row r="242" spans="1:2" ht="15.6" x14ac:dyDescent="0.3">
      <c r="A242" s="25">
        <v>10.8</v>
      </c>
      <c r="B242" s="25">
        <v>4.3609999999999998</v>
      </c>
    </row>
    <row r="243" spans="1:2" ht="15.6" x14ac:dyDescent="0.3">
      <c r="A243" s="25">
        <v>11</v>
      </c>
      <c r="B243" s="25">
        <v>4.4189999999999996</v>
      </c>
    </row>
    <row r="244" spans="1:2" ht="15.6" x14ac:dyDescent="0.3">
      <c r="A244" s="25">
        <v>11.2</v>
      </c>
      <c r="B244" s="25">
        <v>4.4770000000000003</v>
      </c>
    </row>
    <row r="245" spans="1:2" ht="15.6" x14ac:dyDescent="0.3">
      <c r="A245" s="25">
        <v>11.4</v>
      </c>
      <c r="B245" s="25">
        <v>4.5339999999999998</v>
      </c>
    </row>
    <row r="246" spans="1:2" ht="15.6" x14ac:dyDescent="0.3">
      <c r="A246" s="25">
        <v>11.6</v>
      </c>
      <c r="B246" s="25">
        <v>4.5919999999999996</v>
      </c>
    </row>
    <row r="247" spans="1:2" ht="15.6" x14ac:dyDescent="0.3">
      <c r="A247" s="25">
        <v>11.8</v>
      </c>
      <c r="B247" s="25">
        <v>4.649</v>
      </c>
    </row>
    <row r="248" spans="1:2" ht="15.6" x14ac:dyDescent="0.3">
      <c r="A248" s="25">
        <v>12</v>
      </c>
      <c r="B248" s="25">
        <v>4.7069999999999999</v>
      </c>
    </row>
    <row r="249" spans="1:2" ht="15.6" x14ac:dyDescent="0.3">
      <c r="A249" s="25">
        <v>12.2</v>
      </c>
      <c r="B249" s="25">
        <v>4.7640000000000002</v>
      </c>
    </row>
    <row r="250" spans="1:2" ht="15.6" x14ac:dyDescent="0.3">
      <c r="A250" s="25">
        <v>12.4</v>
      </c>
      <c r="B250" s="25">
        <v>4.82</v>
      </c>
    </row>
    <row r="251" spans="1:2" ht="15.6" x14ac:dyDescent="0.3">
      <c r="A251" s="25">
        <v>12.6</v>
      </c>
      <c r="B251" s="25">
        <v>4.8769999999999998</v>
      </c>
    </row>
    <row r="252" spans="1:2" ht="15.6" x14ac:dyDescent="0.3">
      <c r="A252" s="25">
        <v>12.8</v>
      </c>
      <c r="B252" s="25">
        <v>4.9340000000000002</v>
      </c>
    </row>
    <row r="253" spans="1:2" ht="15.6" x14ac:dyDescent="0.3">
      <c r="A253" s="25">
        <v>13</v>
      </c>
      <c r="B253" s="25">
        <v>4.99</v>
      </c>
    </row>
    <row r="254" spans="1:2" ht="15.6" x14ac:dyDescent="0.3">
      <c r="A254" s="25">
        <v>13.2</v>
      </c>
      <c r="B254" s="25">
        <v>5.0469999999999997</v>
      </c>
    </row>
    <row r="255" spans="1:2" ht="15.6" x14ac:dyDescent="0.3">
      <c r="A255" s="25">
        <v>13.4</v>
      </c>
      <c r="B255" s="25">
        <v>5.1029999999999998</v>
      </c>
    </row>
    <row r="256" spans="1:2" ht="15.6" x14ac:dyDescent="0.3">
      <c r="A256" s="25">
        <v>13.6</v>
      </c>
      <c r="B256" s="25">
        <v>5.1589999999999998</v>
      </c>
    </row>
    <row r="257" spans="1:2" ht="15.6" x14ac:dyDescent="0.3">
      <c r="A257" s="25">
        <v>13.8</v>
      </c>
      <c r="B257" s="25">
        <v>5.2149999999999999</v>
      </c>
    </row>
    <row r="258" spans="1:2" ht="15.6" x14ac:dyDescent="0.3">
      <c r="A258" s="25">
        <v>14</v>
      </c>
      <c r="B258" s="25">
        <v>5.27</v>
      </c>
    </row>
    <row r="259" spans="1:2" ht="15.6" x14ac:dyDescent="0.3">
      <c r="A259" s="25">
        <v>14.2</v>
      </c>
      <c r="B259" s="25">
        <v>5.3259999999999996</v>
      </c>
    </row>
    <row r="260" spans="1:2" ht="15.6" x14ac:dyDescent="0.3">
      <c r="A260" s="25">
        <v>14.4</v>
      </c>
      <c r="B260" s="25">
        <v>5.3819999999999997</v>
      </c>
    </row>
    <row r="261" spans="1:2" ht="15.6" x14ac:dyDescent="0.3">
      <c r="A261" s="25">
        <v>14.6</v>
      </c>
      <c r="B261" s="25">
        <v>5.4370000000000003</v>
      </c>
    </row>
    <row r="262" spans="1:2" ht="15.6" x14ac:dyDescent="0.3">
      <c r="A262" s="25">
        <v>14.8</v>
      </c>
      <c r="B262" s="25">
        <v>5.492</v>
      </c>
    </row>
    <row r="263" spans="1:2" ht="15.6" x14ac:dyDescent="0.3">
      <c r="A263" s="25">
        <v>15</v>
      </c>
      <c r="B263" s="25">
        <v>5.5469999999999997</v>
      </c>
    </row>
    <row r="264" spans="1:2" ht="15.6" x14ac:dyDescent="0.3">
      <c r="A264" s="25">
        <v>15.2</v>
      </c>
      <c r="B264" s="25">
        <v>5.6020000000000003</v>
      </c>
    </row>
    <row r="265" spans="1:2" ht="15.6" x14ac:dyDescent="0.3">
      <c r="A265" s="25">
        <v>15.4</v>
      </c>
      <c r="B265" s="25">
        <v>5.657</v>
      </c>
    </row>
    <row r="266" spans="1:2" ht="15.6" x14ac:dyDescent="0.3">
      <c r="A266" s="25">
        <v>15.6</v>
      </c>
      <c r="B266" s="25">
        <v>5.7119999999999997</v>
      </c>
    </row>
    <row r="267" spans="1:2" ht="15.6" x14ac:dyDescent="0.3">
      <c r="A267" s="25">
        <v>15.8</v>
      </c>
      <c r="B267" s="25">
        <v>5.7670000000000003</v>
      </c>
    </row>
    <row r="268" spans="1:2" ht="15.6" x14ac:dyDescent="0.3">
      <c r="A268" s="25">
        <v>16</v>
      </c>
      <c r="B268" s="25">
        <v>5.8209999999999997</v>
      </c>
    </row>
    <row r="269" spans="1:2" ht="15.6" x14ac:dyDescent="0.3">
      <c r="A269" s="25">
        <v>16.2</v>
      </c>
      <c r="B269" s="25">
        <v>5.8760000000000003</v>
      </c>
    </row>
    <row r="270" spans="1:2" ht="15.6" x14ac:dyDescent="0.3">
      <c r="A270" s="25">
        <v>16.399999999999999</v>
      </c>
      <c r="B270" s="25">
        <v>5.93</v>
      </c>
    </row>
    <row r="271" spans="1:2" ht="15.6" x14ac:dyDescent="0.3">
      <c r="A271" s="25">
        <v>16.600000000000001</v>
      </c>
      <c r="B271" s="25">
        <v>5.984</v>
      </c>
    </row>
    <row r="272" spans="1:2" ht="15.6" x14ac:dyDescent="0.3">
      <c r="A272" s="25">
        <v>16.8</v>
      </c>
      <c r="B272" s="25">
        <v>6.0389999999999997</v>
      </c>
    </row>
    <row r="273" spans="1:2" ht="15.6" x14ac:dyDescent="0.3">
      <c r="A273" s="25">
        <v>17</v>
      </c>
      <c r="B273" s="25">
        <v>6.093</v>
      </c>
    </row>
    <row r="274" spans="1:2" ht="15.6" x14ac:dyDescent="0.3">
      <c r="A274" s="25">
        <v>17.2</v>
      </c>
      <c r="B274" s="25">
        <v>6.1470000000000002</v>
      </c>
    </row>
    <row r="275" spans="1:2" ht="15.6" x14ac:dyDescent="0.3">
      <c r="A275" s="25">
        <v>17.399999999999999</v>
      </c>
      <c r="B275" s="25">
        <v>6.2009999999999996</v>
      </c>
    </row>
    <row r="276" spans="1:2" ht="15.6" x14ac:dyDescent="0.3">
      <c r="A276" s="25">
        <v>17.600000000000001</v>
      </c>
      <c r="B276" s="25">
        <v>6.2539999999999996</v>
      </c>
    </row>
    <row r="277" spans="1:2" ht="15.6" x14ac:dyDescent="0.3">
      <c r="A277" s="25">
        <v>17.8</v>
      </c>
      <c r="B277" s="25">
        <v>6.3079999999999998</v>
      </c>
    </row>
    <row r="278" spans="1:2" ht="15.6" x14ac:dyDescent="0.3">
      <c r="A278" s="25">
        <v>18</v>
      </c>
      <c r="B278" s="25">
        <v>6.3620000000000001</v>
      </c>
    </row>
    <row r="279" spans="1:2" ht="15.6" x14ac:dyDescent="0.3">
      <c r="A279" s="25">
        <v>18.2</v>
      </c>
      <c r="B279" s="25">
        <v>6.415</v>
      </c>
    </row>
    <row r="280" spans="1:2" ht="15.6" x14ac:dyDescent="0.3">
      <c r="A280" s="25">
        <v>18.399999999999999</v>
      </c>
      <c r="B280" s="25">
        <v>6.4690000000000003</v>
      </c>
    </row>
    <row r="281" spans="1:2" ht="15.6" x14ac:dyDescent="0.3">
      <c r="A281" s="25">
        <v>18.600000000000001</v>
      </c>
      <c r="B281" s="25">
        <v>6.5220000000000002</v>
      </c>
    </row>
    <row r="282" spans="1:2" ht="15.6" x14ac:dyDescent="0.3">
      <c r="A282" s="25">
        <v>18.8</v>
      </c>
      <c r="B282" s="25">
        <v>6.5750000000000002</v>
      </c>
    </row>
    <row r="283" spans="1:2" ht="15.6" x14ac:dyDescent="0.3">
      <c r="A283" s="25">
        <v>19</v>
      </c>
      <c r="B283" s="25">
        <v>6.6289999999999996</v>
      </c>
    </row>
    <row r="284" spans="1:2" ht="15.6" x14ac:dyDescent="0.3">
      <c r="A284" s="25">
        <v>19.2</v>
      </c>
      <c r="B284" s="25">
        <v>6.6820000000000004</v>
      </c>
    </row>
    <row r="285" spans="1:2" ht="15.6" x14ac:dyDescent="0.3">
      <c r="A285" s="25">
        <v>19.399999999999999</v>
      </c>
      <c r="B285" s="25">
        <v>6.734</v>
      </c>
    </row>
    <row r="286" spans="1:2" ht="15.6" x14ac:dyDescent="0.3">
      <c r="A286" s="25">
        <v>19.600000000000001</v>
      </c>
      <c r="B286" s="25">
        <v>6.7880000000000003</v>
      </c>
    </row>
    <row r="287" spans="1:2" ht="15.6" x14ac:dyDescent="0.3">
      <c r="A287" s="25">
        <v>19.8</v>
      </c>
      <c r="B287" s="25">
        <v>6.84</v>
      </c>
    </row>
    <row r="288" spans="1:2" ht="15.6" x14ac:dyDescent="0.3">
      <c r="A288" s="25">
        <v>20</v>
      </c>
      <c r="B288" s="25">
        <v>6.8929999999999998</v>
      </c>
    </row>
    <row r="289" spans="1:2" ht="15.6" x14ac:dyDescent="0.3">
      <c r="A289" s="25">
        <v>21</v>
      </c>
      <c r="B289" s="25">
        <v>7.1559999999999997</v>
      </c>
    </row>
    <row r="290" spans="1:2" ht="15.6" x14ac:dyDescent="0.3">
      <c r="A290" s="25">
        <v>21.5</v>
      </c>
      <c r="B290" s="25">
        <v>7.2869999999999999</v>
      </c>
    </row>
    <row r="291" spans="1:2" ht="15.6" x14ac:dyDescent="0.3">
      <c r="A291" s="25">
        <v>22</v>
      </c>
      <c r="B291" s="25">
        <v>7.4169999999999998</v>
      </c>
    </row>
    <row r="292" spans="1:2" ht="15.6" x14ac:dyDescent="0.3">
      <c r="A292" s="25">
        <v>22.5</v>
      </c>
      <c r="B292" s="25">
        <v>7.5469999999999997</v>
      </c>
    </row>
    <row r="293" spans="1:2" ht="15.6" x14ac:dyDescent="0.3">
      <c r="A293" s="25">
        <v>23</v>
      </c>
      <c r="B293" s="25">
        <v>7.6769999999999996</v>
      </c>
    </row>
    <row r="294" spans="1:2" ht="15.6" x14ac:dyDescent="0.3">
      <c r="A294" s="25">
        <v>23.5</v>
      </c>
      <c r="B294" s="25">
        <v>7.806</v>
      </c>
    </row>
    <row r="295" spans="1:2" ht="15.6" x14ac:dyDescent="0.3">
      <c r="A295" s="25">
        <v>24</v>
      </c>
      <c r="B295" s="25">
        <v>7.9349999999999996</v>
      </c>
    </row>
    <row r="296" spans="1:2" ht="15.6" x14ac:dyDescent="0.3">
      <c r="A296" s="25">
        <v>24.5</v>
      </c>
      <c r="B296" s="25">
        <v>8.0640000000000001</v>
      </c>
    </row>
    <row r="297" spans="1:2" ht="15.6" x14ac:dyDescent="0.3">
      <c r="A297" s="25">
        <v>25</v>
      </c>
      <c r="B297" s="25">
        <v>8.1920000000000002</v>
      </c>
    </row>
    <row r="298" spans="1:2" ht="15.6" x14ac:dyDescent="0.3">
      <c r="A298" s="25">
        <v>25.5</v>
      </c>
      <c r="B298" s="25">
        <v>8.32</v>
      </c>
    </row>
    <row r="299" spans="1:2" ht="15.6" x14ac:dyDescent="0.3">
      <c r="A299" s="25">
        <v>26</v>
      </c>
      <c r="B299" s="25">
        <v>8.4469999999999992</v>
      </c>
    </row>
    <row r="300" spans="1:2" ht="15.6" x14ac:dyDescent="0.3">
      <c r="A300" s="25">
        <v>26.5</v>
      </c>
      <c r="B300" s="25">
        <v>8.5749999999999993</v>
      </c>
    </row>
    <row r="301" spans="1:2" ht="15.6" x14ac:dyDescent="0.3">
      <c r="A301" s="25">
        <v>27</v>
      </c>
      <c r="B301" s="25">
        <v>8.7010000000000005</v>
      </c>
    </row>
    <row r="302" spans="1:2" ht="15.6" x14ac:dyDescent="0.3">
      <c r="A302" s="25">
        <v>27.5</v>
      </c>
      <c r="B302" s="25">
        <v>8.8279999999999994</v>
      </c>
    </row>
    <row r="303" spans="1:2" ht="15.6" x14ac:dyDescent="0.3">
      <c r="A303" s="25">
        <v>28</v>
      </c>
      <c r="B303" s="25">
        <v>8.9550000000000001</v>
      </c>
    </row>
    <row r="304" spans="1:2" ht="15.6" x14ac:dyDescent="0.3">
      <c r="A304" s="25">
        <v>28.5</v>
      </c>
      <c r="B304" s="25">
        <v>9.0809999999999995</v>
      </c>
    </row>
    <row r="305" spans="1:2" ht="15.6" x14ac:dyDescent="0.3">
      <c r="A305" s="25">
        <v>29</v>
      </c>
      <c r="B305" s="25">
        <v>9.2070000000000007</v>
      </c>
    </row>
    <row r="306" spans="1:2" ht="15.6" x14ac:dyDescent="0.3">
      <c r="A306" s="25">
        <v>29.5</v>
      </c>
      <c r="B306" s="25">
        <v>9.3320000000000007</v>
      </c>
    </row>
    <row r="307" spans="1:2" ht="15.6" x14ac:dyDescent="0.3">
      <c r="A307" s="25">
        <v>30</v>
      </c>
      <c r="B307" s="25">
        <v>9.4570000000000007</v>
      </c>
    </row>
    <row r="308" spans="1:2" ht="15.6" x14ac:dyDescent="0.3">
      <c r="A308" s="25">
        <v>30.5</v>
      </c>
      <c r="B308" s="25">
        <v>9.5830000000000002</v>
      </c>
    </row>
    <row r="309" spans="1:2" ht="15.6" x14ac:dyDescent="0.3">
      <c r="A309" s="25">
        <v>31</v>
      </c>
      <c r="B309" s="25">
        <v>9.7070000000000007</v>
      </c>
    </row>
    <row r="310" spans="1:2" ht="15.6" x14ac:dyDescent="0.3">
      <c r="A310" s="25">
        <v>31.5</v>
      </c>
      <c r="B310" s="25">
        <v>9.8320000000000007</v>
      </c>
    </row>
    <row r="311" spans="1:2" ht="15.6" x14ac:dyDescent="0.3">
      <c r="A311" s="25">
        <v>32</v>
      </c>
      <c r="B311" s="25">
        <v>9.9570000000000007</v>
      </c>
    </row>
    <row r="312" spans="1:2" ht="15.6" x14ac:dyDescent="0.3">
      <c r="A312" s="25">
        <v>32.5</v>
      </c>
      <c r="B312" s="25">
        <v>10.08</v>
      </c>
    </row>
    <row r="313" spans="1:2" ht="15.6" x14ac:dyDescent="0.3">
      <c r="A313" s="25">
        <v>33</v>
      </c>
      <c r="B313" s="25">
        <v>10.199999999999999</v>
      </c>
    </row>
    <row r="314" spans="1:2" ht="15.6" x14ac:dyDescent="0.3">
      <c r="A314" s="25">
        <v>33.5</v>
      </c>
      <c r="B314" s="25">
        <v>10.33</v>
      </c>
    </row>
    <row r="315" spans="1:2" ht="15.6" x14ac:dyDescent="0.3">
      <c r="A315" s="25">
        <v>34</v>
      </c>
      <c r="B315" s="25">
        <v>10.45</v>
      </c>
    </row>
    <row r="316" spans="1:2" ht="15.6" x14ac:dyDescent="0.3">
      <c r="A316" s="25">
        <v>34.5</v>
      </c>
      <c r="B316" s="25">
        <v>10.58</v>
      </c>
    </row>
    <row r="317" spans="1:2" ht="15.6" x14ac:dyDescent="0.3">
      <c r="A317" s="25">
        <v>35</v>
      </c>
      <c r="B317" s="25">
        <v>10.7</v>
      </c>
    </row>
    <row r="318" spans="1:2" ht="15.6" x14ac:dyDescent="0.3">
      <c r="A318" s="25">
        <v>35.5</v>
      </c>
      <c r="B318" s="25">
        <v>10.82</v>
      </c>
    </row>
    <row r="319" spans="1:2" ht="15.6" x14ac:dyDescent="0.3">
      <c r="A319" s="25">
        <v>36</v>
      </c>
      <c r="B319" s="25">
        <v>10.94</v>
      </c>
    </row>
    <row r="320" spans="1:2" ht="15.6" x14ac:dyDescent="0.3">
      <c r="A320" s="25">
        <v>36.5</v>
      </c>
      <c r="B320" s="25">
        <v>11.07</v>
      </c>
    </row>
    <row r="321" spans="1:2" ht="15.6" x14ac:dyDescent="0.3">
      <c r="A321" s="25">
        <v>37.5</v>
      </c>
      <c r="B321" s="25">
        <v>11.31</v>
      </c>
    </row>
    <row r="322" spans="1:2" ht="15.6" x14ac:dyDescent="0.3">
      <c r="A322" s="25">
        <v>38</v>
      </c>
      <c r="B322" s="25">
        <v>11.43</v>
      </c>
    </row>
    <row r="323" spans="1:2" ht="15.6" x14ac:dyDescent="0.3">
      <c r="A323" s="25">
        <v>38.5</v>
      </c>
      <c r="B323" s="25">
        <v>11.56</v>
      </c>
    </row>
    <row r="324" spans="1:2" ht="15.6" x14ac:dyDescent="0.3">
      <c r="A324" s="25">
        <v>39</v>
      </c>
      <c r="B324" s="25">
        <v>11.68</v>
      </c>
    </row>
    <row r="325" spans="1:2" ht="15.6" x14ac:dyDescent="0.3">
      <c r="A325" s="25">
        <v>39.5</v>
      </c>
      <c r="B325" s="25">
        <v>11.8</v>
      </c>
    </row>
    <row r="326" spans="1:2" ht="15.6" x14ac:dyDescent="0.3">
      <c r="A326" s="25">
        <v>40</v>
      </c>
      <c r="B326" s="25">
        <v>11.92</v>
      </c>
    </row>
    <row r="327" spans="1:2" ht="15.6" x14ac:dyDescent="0.3">
      <c r="A327" s="25">
        <v>40.5</v>
      </c>
      <c r="B327" s="25">
        <v>12.04</v>
      </c>
    </row>
    <row r="328" spans="1:2" ht="15.6" x14ac:dyDescent="0.3">
      <c r="A328" s="25">
        <v>41</v>
      </c>
      <c r="B328" s="25">
        <v>12.16</v>
      </c>
    </row>
    <row r="329" spans="1:2" ht="15.6" x14ac:dyDescent="0.3">
      <c r="A329" s="25">
        <v>41.5</v>
      </c>
      <c r="B329" s="25">
        <v>12.28</v>
      </c>
    </row>
    <row r="330" spans="1:2" ht="15.6" x14ac:dyDescent="0.3">
      <c r="A330" s="25">
        <v>42</v>
      </c>
      <c r="B330" s="25">
        <v>12.41</v>
      </c>
    </row>
    <row r="331" spans="1:2" ht="15.6" x14ac:dyDescent="0.3">
      <c r="A331" s="25">
        <v>42.5</v>
      </c>
      <c r="B331" s="25">
        <v>12.53</v>
      </c>
    </row>
    <row r="332" spans="1:2" ht="15.6" x14ac:dyDescent="0.3">
      <c r="A332" s="25">
        <v>43</v>
      </c>
      <c r="B332" s="25">
        <v>12.65</v>
      </c>
    </row>
    <row r="333" spans="1:2" ht="15.6" x14ac:dyDescent="0.3">
      <c r="A333" s="25">
        <v>43.5</v>
      </c>
      <c r="B333" s="25">
        <v>12.77</v>
      </c>
    </row>
    <row r="334" spans="1:2" ht="15.6" x14ac:dyDescent="0.3">
      <c r="A334" s="25">
        <v>44</v>
      </c>
      <c r="B334" s="25">
        <v>12.89</v>
      </c>
    </row>
    <row r="335" spans="1:2" ht="15.6" x14ac:dyDescent="0.3">
      <c r="A335" s="25">
        <v>44.5</v>
      </c>
      <c r="B335" s="25">
        <v>13.01</v>
      </c>
    </row>
    <row r="336" spans="1:2" ht="15.6" x14ac:dyDescent="0.3">
      <c r="A336" s="25">
        <v>45</v>
      </c>
      <c r="B336" s="25">
        <v>13.13</v>
      </c>
    </row>
    <row r="337" spans="1:2" ht="15.6" x14ac:dyDescent="0.3">
      <c r="A337" s="25">
        <v>45.5</v>
      </c>
      <c r="B337" s="25">
        <v>13.25</v>
      </c>
    </row>
    <row r="338" spans="1:2" ht="15.6" x14ac:dyDescent="0.3">
      <c r="A338" s="25">
        <v>46</v>
      </c>
      <c r="B338" s="25">
        <v>13.37</v>
      </c>
    </row>
    <row r="339" spans="1:2" ht="15.6" x14ac:dyDescent="0.3">
      <c r="A339" s="25">
        <v>46.5</v>
      </c>
      <c r="B339" s="25">
        <v>13.49</v>
      </c>
    </row>
    <row r="340" spans="1:2" ht="15.6" x14ac:dyDescent="0.3">
      <c r="A340" s="25">
        <v>47</v>
      </c>
      <c r="B340" s="25">
        <v>13.61</v>
      </c>
    </row>
    <row r="341" spans="1:2" ht="15.6" x14ac:dyDescent="0.3">
      <c r="A341" s="25">
        <v>47.5</v>
      </c>
      <c r="B341" s="25">
        <v>13.73</v>
      </c>
    </row>
    <row r="342" spans="1:2" ht="15.6" x14ac:dyDescent="0.3">
      <c r="A342" s="25">
        <v>48</v>
      </c>
      <c r="B342" s="25">
        <v>13.85</v>
      </c>
    </row>
    <row r="343" spans="1:2" ht="15.6" x14ac:dyDescent="0.3">
      <c r="A343" s="25">
        <v>48.5</v>
      </c>
      <c r="B343" s="25">
        <v>13.97</v>
      </c>
    </row>
    <row r="344" spans="1:2" ht="15.6" x14ac:dyDescent="0.3">
      <c r="A344" s="25">
        <v>49</v>
      </c>
      <c r="B344" s="25">
        <v>14.09</v>
      </c>
    </row>
    <row r="345" spans="1:2" ht="15.6" x14ac:dyDescent="0.3">
      <c r="A345" s="25">
        <v>49.5</v>
      </c>
      <c r="B345" s="25">
        <v>14.2</v>
      </c>
    </row>
    <row r="346" spans="1:2" ht="15.6" x14ac:dyDescent="0.3">
      <c r="A346" s="25">
        <v>50</v>
      </c>
      <c r="B346" s="25">
        <v>14.32</v>
      </c>
    </row>
    <row r="347" spans="1:2" ht="15.6" x14ac:dyDescent="0.3">
      <c r="A347" s="25">
        <v>51</v>
      </c>
      <c r="B347" s="25">
        <v>14.56</v>
      </c>
    </row>
    <row r="348" spans="1:2" ht="15.6" x14ac:dyDescent="0.3">
      <c r="A348" s="25">
        <v>52</v>
      </c>
      <c r="B348" s="25">
        <v>14.8</v>
      </c>
    </row>
    <row r="349" spans="1:2" ht="15.6" x14ac:dyDescent="0.3">
      <c r="A349" s="25">
        <v>53</v>
      </c>
      <c r="B349" s="25">
        <v>15.04</v>
      </c>
    </row>
    <row r="350" spans="1:2" ht="15.6" x14ac:dyDescent="0.3">
      <c r="A350" s="25">
        <v>54</v>
      </c>
      <c r="B350" s="25">
        <v>15.27</v>
      </c>
    </row>
    <row r="351" spans="1:2" ht="15.6" x14ac:dyDescent="0.3">
      <c r="A351" s="25">
        <v>55</v>
      </c>
      <c r="B351" s="25">
        <v>15.51</v>
      </c>
    </row>
    <row r="352" spans="1:2" ht="15.6" x14ac:dyDescent="0.3">
      <c r="A352" s="25">
        <v>56</v>
      </c>
      <c r="B352" s="25">
        <v>15.74</v>
      </c>
    </row>
    <row r="353" spans="1:2" ht="15.6" x14ac:dyDescent="0.3">
      <c r="A353" s="25">
        <v>57</v>
      </c>
      <c r="B353" s="25">
        <v>15.98</v>
      </c>
    </row>
    <row r="354" spans="1:2" ht="15.6" x14ac:dyDescent="0.3">
      <c r="A354" s="25">
        <v>58</v>
      </c>
      <c r="B354" s="25">
        <v>16.22</v>
      </c>
    </row>
    <row r="355" spans="1:2" ht="15.6" x14ac:dyDescent="0.3">
      <c r="A355" s="25">
        <v>59</v>
      </c>
      <c r="B355" s="25">
        <v>16.45</v>
      </c>
    </row>
    <row r="356" spans="1:2" ht="15.6" x14ac:dyDescent="0.3">
      <c r="A356" s="25">
        <v>60</v>
      </c>
      <c r="B356" s="25">
        <v>16.690000000000001</v>
      </c>
    </row>
    <row r="357" spans="1:2" ht="15.6" x14ac:dyDescent="0.3">
      <c r="A357" s="25">
        <v>61</v>
      </c>
      <c r="B357" s="25">
        <v>16.920000000000002</v>
      </c>
    </row>
    <row r="358" spans="1:2" ht="15.6" x14ac:dyDescent="0.3">
      <c r="A358" s="25">
        <v>62</v>
      </c>
      <c r="B358" s="25">
        <v>17.149999999999999</v>
      </c>
    </row>
    <row r="359" spans="1:2" ht="15.6" x14ac:dyDescent="0.3">
      <c r="A359" s="25">
        <v>63</v>
      </c>
      <c r="B359" s="25">
        <v>17.39</v>
      </c>
    </row>
    <row r="360" spans="1:2" ht="15.6" x14ac:dyDescent="0.3">
      <c r="A360" s="25">
        <v>64</v>
      </c>
      <c r="B360" s="25">
        <v>17.62</v>
      </c>
    </row>
    <row r="361" spans="1:2" ht="15.6" x14ac:dyDescent="0.3">
      <c r="A361" s="25">
        <v>65</v>
      </c>
      <c r="B361" s="25">
        <v>17.850000000000001</v>
      </c>
    </row>
    <row r="362" spans="1:2" ht="15.6" x14ac:dyDescent="0.3">
      <c r="A362" s="25">
        <v>66</v>
      </c>
      <c r="B362" s="25">
        <v>18.09</v>
      </c>
    </row>
    <row r="363" spans="1:2" ht="15.6" x14ac:dyDescent="0.3">
      <c r="A363" s="25">
        <v>67</v>
      </c>
      <c r="B363" s="25">
        <v>18.32</v>
      </c>
    </row>
    <row r="364" spans="1:2" ht="15.6" x14ac:dyDescent="0.3">
      <c r="A364" s="25">
        <v>68</v>
      </c>
      <c r="B364" s="25">
        <v>18.55</v>
      </c>
    </row>
    <row r="365" spans="1:2" ht="15.6" x14ac:dyDescent="0.3">
      <c r="A365" s="25">
        <v>69</v>
      </c>
      <c r="B365" s="25">
        <v>18.79</v>
      </c>
    </row>
    <row r="366" spans="1:2" ht="15.6" x14ac:dyDescent="0.3">
      <c r="A366" s="25">
        <v>70</v>
      </c>
      <c r="B366" s="25">
        <v>19.02</v>
      </c>
    </row>
    <row r="367" spans="1:2" ht="15.6" x14ac:dyDescent="0.3">
      <c r="A367" s="25">
        <v>71</v>
      </c>
      <c r="B367" s="25">
        <v>19.25</v>
      </c>
    </row>
    <row r="368" spans="1:2" ht="15.6" x14ac:dyDescent="0.3">
      <c r="A368" s="25">
        <v>72</v>
      </c>
      <c r="B368" s="25">
        <v>19.48</v>
      </c>
    </row>
    <row r="369" spans="1:2" ht="15.6" x14ac:dyDescent="0.3">
      <c r="A369" s="25">
        <v>73</v>
      </c>
      <c r="B369" s="25">
        <v>19.71</v>
      </c>
    </row>
    <row r="370" spans="1:2" ht="15.6" x14ac:dyDescent="0.3">
      <c r="A370" s="25">
        <v>74</v>
      </c>
      <c r="B370" s="25">
        <v>19.940000000000001</v>
      </c>
    </row>
    <row r="371" spans="1:2" ht="15.6" x14ac:dyDescent="0.3">
      <c r="A371" s="25">
        <v>75</v>
      </c>
      <c r="B371" s="25">
        <v>20.18</v>
      </c>
    </row>
    <row r="372" spans="1:2" ht="15.6" x14ac:dyDescent="0.3">
      <c r="A372" s="25">
        <v>76</v>
      </c>
      <c r="B372" s="25">
        <v>20.41</v>
      </c>
    </row>
    <row r="373" spans="1:2" ht="15.6" x14ac:dyDescent="0.3">
      <c r="A373" s="25">
        <v>77</v>
      </c>
      <c r="B373" s="25">
        <v>20.64</v>
      </c>
    </row>
    <row r="374" spans="1:2" ht="15.6" x14ac:dyDescent="0.3">
      <c r="A374" s="25">
        <v>78</v>
      </c>
      <c r="B374" s="25">
        <v>20.87</v>
      </c>
    </row>
    <row r="375" spans="1:2" ht="15.6" x14ac:dyDescent="0.3">
      <c r="A375" s="25">
        <v>79</v>
      </c>
      <c r="B375" s="25">
        <v>21.1</v>
      </c>
    </row>
    <row r="376" spans="1:2" ht="15.6" x14ac:dyDescent="0.3">
      <c r="A376" s="25">
        <v>80</v>
      </c>
      <c r="B376" s="25">
        <v>21.33</v>
      </c>
    </row>
    <row r="377" spans="1:2" ht="15.6" x14ac:dyDescent="0.3">
      <c r="A377" s="25">
        <v>81</v>
      </c>
      <c r="B377" s="25">
        <v>21.56</v>
      </c>
    </row>
    <row r="378" spans="1:2" ht="15.6" x14ac:dyDescent="0.3">
      <c r="A378" s="25">
        <v>82</v>
      </c>
      <c r="B378" s="25">
        <v>21.69</v>
      </c>
    </row>
    <row r="379" spans="1:2" ht="15.6" x14ac:dyDescent="0.3">
      <c r="A379" s="25">
        <v>83</v>
      </c>
      <c r="B379" s="25">
        <v>22.02</v>
      </c>
    </row>
    <row r="380" spans="1:2" ht="15.6" x14ac:dyDescent="0.3">
      <c r="A380" s="25">
        <v>85</v>
      </c>
      <c r="B380" s="25">
        <v>22.48</v>
      </c>
    </row>
    <row r="381" spans="1:2" ht="15.6" x14ac:dyDescent="0.3">
      <c r="A381" s="25">
        <v>86</v>
      </c>
      <c r="B381" s="25">
        <v>22.71</v>
      </c>
    </row>
    <row r="382" spans="1:2" ht="15.6" x14ac:dyDescent="0.3">
      <c r="A382" s="25">
        <v>87</v>
      </c>
      <c r="B382" s="25">
        <v>22.94</v>
      </c>
    </row>
    <row r="383" spans="1:2" ht="15.6" x14ac:dyDescent="0.3">
      <c r="A383" s="25">
        <v>88</v>
      </c>
      <c r="B383" s="25">
        <v>23.17</v>
      </c>
    </row>
    <row r="384" spans="1:2" ht="15.6" x14ac:dyDescent="0.3">
      <c r="A384" s="25">
        <v>89</v>
      </c>
      <c r="B384" s="25">
        <v>23.39</v>
      </c>
    </row>
    <row r="385" spans="1:2" ht="15.6" x14ac:dyDescent="0.3">
      <c r="A385" s="25">
        <v>90</v>
      </c>
      <c r="B385" s="25">
        <v>23.62</v>
      </c>
    </row>
    <row r="386" spans="1:2" ht="15.6" x14ac:dyDescent="0.3">
      <c r="A386" s="25">
        <v>91</v>
      </c>
      <c r="B386" s="25">
        <v>23.85</v>
      </c>
    </row>
    <row r="387" spans="1:2" ht="15.6" x14ac:dyDescent="0.3">
      <c r="A387" s="25">
        <v>92</v>
      </c>
      <c r="B387" s="25">
        <v>24.08</v>
      </c>
    </row>
    <row r="388" spans="1:2" ht="15.6" x14ac:dyDescent="0.3">
      <c r="A388" s="25">
        <v>93</v>
      </c>
      <c r="B388" s="25">
        <v>24.31</v>
      </c>
    </row>
    <row r="389" spans="1:2" ht="15.6" x14ac:dyDescent="0.3">
      <c r="A389" s="25">
        <v>94</v>
      </c>
      <c r="B389" s="25">
        <v>24.54</v>
      </c>
    </row>
    <row r="390" spans="1:2" ht="15.6" x14ac:dyDescent="0.3">
      <c r="A390" s="25">
        <v>95</v>
      </c>
      <c r="B390" s="25">
        <v>24.77</v>
      </c>
    </row>
    <row r="391" spans="1:2" ht="15.6" x14ac:dyDescent="0.3">
      <c r="A391" s="25">
        <v>96</v>
      </c>
      <c r="B391" s="25">
        <v>24.99</v>
      </c>
    </row>
    <row r="392" spans="1:2" ht="15.6" x14ac:dyDescent="0.3">
      <c r="A392" s="25">
        <v>97</v>
      </c>
      <c r="B392" s="25">
        <v>25.22</v>
      </c>
    </row>
    <row r="393" spans="1:2" ht="15.6" x14ac:dyDescent="0.3">
      <c r="A393" s="25">
        <v>98</v>
      </c>
      <c r="B393" s="25">
        <v>25.45</v>
      </c>
    </row>
    <row r="394" spans="1:2" ht="15.6" x14ac:dyDescent="0.3">
      <c r="A394" s="25">
        <v>99</v>
      </c>
      <c r="B394" s="25">
        <v>25.68</v>
      </c>
    </row>
    <row r="395" spans="1:2" ht="15.6" x14ac:dyDescent="0.3">
      <c r="A395" s="25">
        <v>100</v>
      </c>
      <c r="B395" s="25">
        <v>25.91</v>
      </c>
    </row>
    <row r="396" spans="1:2" ht="15.6" x14ac:dyDescent="0.3">
      <c r="A396" s="25">
        <v>102</v>
      </c>
      <c r="B396" s="25">
        <v>26.36</v>
      </c>
    </row>
    <row r="397" spans="1:2" ht="15.6" x14ac:dyDescent="0.3">
      <c r="A397" s="25">
        <v>104</v>
      </c>
      <c r="B397" s="25">
        <v>26.82</v>
      </c>
    </row>
    <row r="398" spans="1:2" ht="15.6" x14ac:dyDescent="0.3">
      <c r="A398" s="25">
        <v>106</v>
      </c>
      <c r="B398" s="25">
        <v>27.27</v>
      </c>
    </row>
    <row r="399" spans="1:2" ht="15.6" x14ac:dyDescent="0.3">
      <c r="A399" s="25">
        <v>108</v>
      </c>
      <c r="B399" s="25">
        <v>27.72</v>
      </c>
    </row>
    <row r="400" spans="1:2" ht="15.6" x14ac:dyDescent="0.3">
      <c r="A400" s="25">
        <v>110</v>
      </c>
      <c r="B400" s="25">
        <v>28.18</v>
      </c>
    </row>
    <row r="401" spans="1:2" ht="15.6" x14ac:dyDescent="0.3">
      <c r="A401" s="25">
        <v>112</v>
      </c>
      <c r="B401" s="25">
        <v>28.63</v>
      </c>
    </row>
    <row r="402" spans="1:2" ht="15.6" x14ac:dyDescent="0.3">
      <c r="A402" s="25">
        <v>114</v>
      </c>
      <c r="B402" s="25">
        <v>29.09</v>
      </c>
    </row>
    <row r="403" spans="1:2" ht="15.6" x14ac:dyDescent="0.3">
      <c r="A403" s="25">
        <v>116</v>
      </c>
      <c r="B403" s="25">
        <v>29.54</v>
      </c>
    </row>
    <row r="404" spans="1:2" ht="15.6" x14ac:dyDescent="0.3">
      <c r="A404" s="25">
        <v>118</v>
      </c>
      <c r="B404" s="25">
        <v>29.89</v>
      </c>
    </row>
    <row r="405" spans="1:2" ht="15.6" x14ac:dyDescent="0.3">
      <c r="A405" s="25">
        <v>120</v>
      </c>
      <c r="B405" s="25">
        <v>30.44</v>
      </c>
    </row>
    <row r="406" spans="1:2" ht="15.6" x14ac:dyDescent="0.3">
      <c r="A406" s="25">
        <v>122</v>
      </c>
      <c r="B406" s="25">
        <v>30.9</v>
      </c>
    </row>
    <row r="407" spans="1:2" ht="15.6" x14ac:dyDescent="0.3">
      <c r="A407" s="25">
        <v>124</v>
      </c>
      <c r="B407" s="25">
        <v>31.35</v>
      </c>
    </row>
    <row r="408" spans="1:2" ht="15.6" x14ac:dyDescent="0.3">
      <c r="A408" s="25">
        <v>126</v>
      </c>
      <c r="B408" s="25">
        <v>31.8</v>
      </c>
    </row>
    <row r="409" spans="1:2" ht="15.6" x14ac:dyDescent="0.3">
      <c r="A409" s="25">
        <v>128</v>
      </c>
      <c r="B409" s="25">
        <v>32.25</v>
      </c>
    </row>
    <row r="410" spans="1:2" ht="15.6" x14ac:dyDescent="0.3">
      <c r="A410" s="25">
        <v>130</v>
      </c>
      <c r="B410" s="25">
        <v>32.700000000000003</v>
      </c>
    </row>
    <row r="411" spans="1:2" ht="15.6" x14ac:dyDescent="0.3">
      <c r="A411" s="25">
        <v>132</v>
      </c>
      <c r="B411" s="25">
        <v>33.15</v>
      </c>
    </row>
    <row r="412" spans="1:2" ht="15.6" x14ac:dyDescent="0.3">
      <c r="A412" s="25">
        <v>134</v>
      </c>
      <c r="B412" s="25">
        <v>33.6</v>
      </c>
    </row>
    <row r="413" spans="1:2" ht="15.6" x14ac:dyDescent="0.3">
      <c r="A413" s="25">
        <v>136</v>
      </c>
      <c r="B413" s="25">
        <v>34.06</v>
      </c>
    </row>
    <row r="414" spans="1:2" ht="15.6" x14ac:dyDescent="0.3">
      <c r="A414" s="25">
        <v>138</v>
      </c>
      <c r="B414" s="25">
        <v>34.51</v>
      </c>
    </row>
    <row r="415" spans="1:2" ht="15.6" x14ac:dyDescent="0.3">
      <c r="A415" s="25">
        <v>140</v>
      </c>
      <c r="B415" s="25">
        <v>34.96</v>
      </c>
    </row>
    <row r="416" spans="1:2" ht="15.6" x14ac:dyDescent="0.3">
      <c r="A416" s="25">
        <v>142</v>
      </c>
      <c r="B416" s="25">
        <v>35.409999999999997</v>
      </c>
    </row>
    <row r="417" spans="1:2" ht="15.6" x14ac:dyDescent="0.3">
      <c r="A417" s="25">
        <v>144</v>
      </c>
      <c r="B417" s="25">
        <v>35.86</v>
      </c>
    </row>
    <row r="418" spans="1:2" ht="15.6" x14ac:dyDescent="0.3">
      <c r="A418" s="25">
        <v>146</v>
      </c>
      <c r="B418" s="25">
        <v>36.31</v>
      </c>
    </row>
    <row r="419" spans="1:2" ht="15.6" x14ac:dyDescent="0.3">
      <c r="A419" s="25">
        <v>148</v>
      </c>
      <c r="B419" s="25">
        <v>36.76</v>
      </c>
    </row>
    <row r="420" spans="1:2" ht="15.6" x14ac:dyDescent="0.3">
      <c r="A420" s="25">
        <v>150</v>
      </c>
      <c r="B420" s="25">
        <v>37.21</v>
      </c>
    </row>
    <row r="421" spans="1:2" ht="15.6" x14ac:dyDescent="0.3">
      <c r="A421" s="25">
        <v>152</v>
      </c>
      <c r="B421" s="25">
        <v>37.659999999999997</v>
      </c>
    </row>
    <row r="422" spans="1:2" ht="15.6" x14ac:dyDescent="0.3">
      <c r="A422" s="25">
        <v>154</v>
      </c>
      <c r="B422" s="25">
        <v>38.11</v>
      </c>
    </row>
    <row r="423" spans="1:2" ht="15.6" x14ac:dyDescent="0.3">
      <c r="A423" s="25">
        <v>158</v>
      </c>
      <c r="B423" s="25">
        <v>39.01</v>
      </c>
    </row>
    <row r="424" spans="1:2" ht="15.6" x14ac:dyDescent="0.3">
      <c r="A424" s="25">
        <v>160</v>
      </c>
      <c r="B424" s="25">
        <v>39.46</v>
      </c>
    </row>
    <row r="425" spans="1:2" ht="15.6" x14ac:dyDescent="0.3">
      <c r="A425" s="25">
        <v>162</v>
      </c>
      <c r="B425" s="25">
        <v>39.909999999999997</v>
      </c>
    </row>
    <row r="426" spans="1:2" ht="15.6" x14ac:dyDescent="0.3">
      <c r="A426" s="25">
        <v>164</v>
      </c>
      <c r="B426" s="25">
        <v>40.35</v>
      </c>
    </row>
    <row r="427" spans="1:2" ht="15.6" x14ac:dyDescent="0.3">
      <c r="A427" s="25">
        <v>166</v>
      </c>
      <c r="B427" s="25">
        <v>40.799999999999997</v>
      </c>
    </row>
    <row r="428" spans="1:2" ht="15.6" x14ac:dyDescent="0.3">
      <c r="A428" s="25">
        <v>168</v>
      </c>
      <c r="B428" s="25">
        <v>41.25</v>
      </c>
    </row>
    <row r="429" spans="1:2" ht="15.6" x14ac:dyDescent="0.3">
      <c r="A429" s="25">
        <v>170</v>
      </c>
      <c r="B429" s="25">
        <v>41.7</v>
      </c>
    </row>
    <row r="430" spans="1:2" ht="15.6" x14ac:dyDescent="0.3">
      <c r="A430" s="25">
        <v>172</v>
      </c>
      <c r="B430" s="25">
        <v>42.15</v>
      </c>
    </row>
    <row r="431" spans="1:2" ht="15.6" x14ac:dyDescent="0.3">
      <c r="A431" s="25">
        <v>174</v>
      </c>
      <c r="B431" s="25">
        <v>42.6</v>
      </c>
    </row>
    <row r="432" spans="1:2" ht="15.6" x14ac:dyDescent="0.3">
      <c r="A432" s="25">
        <v>176</v>
      </c>
      <c r="B432" s="25">
        <v>43.05</v>
      </c>
    </row>
    <row r="433" spans="1:2" ht="15.6" x14ac:dyDescent="0.3">
      <c r="A433" s="25">
        <v>178</v>
      </c>
      <c r="B433" s="25">
        <v>43.5</v>
      </c>
    </row>
    <row r="434" spans="1:2" ht="15.6" x14ac:dyDescent="0.3">
      <c r="A434" s="25">
        <v>180</v>
      </c>
      <c r="B434" s="25">
        <v>43.95</v>
      </c>
    </row>
    <row r="435" spans="1:2" ht="15.6" x14ac:dyDescent="0.3">
      <c r="A435" s="25">
        <v>182</v>
      </c>
      <c r="B435" s="25">
        <v>44.4</v>
      </c>
    </row>
    <row r="436" spans="1:2" ht="15.6" x14ac:dyDescent="0.3">
      <c r="A436" s="25">
        <v>184</v>
      </c>
      <c r="B436" s="25">
        <v>44.84</v>
      </c>
    </row>
    <row r="437" spans="1:2" ht="15.6" x14ac:dyDescent="0.3">
      <c r="A437" s="25">
        <v>186</v>
      </c>
      <c r="B437" s="25">
        <v>45.29</v>
      </c>
    </row>
    <row r="438" spans="1:2" ht="15.6" x14ac:dyDescent="0.3">
      <c r="A438" s="25">
        <v>188</v>
      </c>
      <c r="B438" s="25">
        <v>45.74</v>
      </c>
    </row>
    <row r="439" spans="1:2" ht="15.6" x14ac:dyDescent="0.3">
      <c r="A439" s="25">
        <v>190</v>
      </c>
      <c r="B439" s="25">
        <v>46.19</v>
      </c>
    </row>
    <row r="440" spans="1:2" ht="15.6" x14ac:dyDescent="0.3">
      <c r="A440" s="25">
        <v>192</v>
      </c>
      <c r="B440" s="25">
        <v>46.64</v>
      </c>
    </row>
    <row r="441" spans="1:2" ht="15.6" x14ac:dyDescent="0.3">
      <c r="A441" s="25">
        <v>194</v>
      </c>
      <c r="B441" s="25">
        <v>47.09</v>
      </c>
    </row>
    <row r="442" spans="1:2" ht="15.6" x14ac:dyDescent="0.3">
      <c r="A442" s="25">
        <v>196</v>
      </c>
      <c r="B442" s="25">
        <v>47.54</v>
      </c>
    </row>
    <row r="443" spans="1:2" ht="15.6" x14ac:dyDescent="0.3">
      <c r="A443" s="25">
        <v>198</v>
      </c>
      <c r="B443" s="25">
        <v>47.99</v>
      </c>
    </row>
    <row r="444" spans="1:2" ht="15.6" x14ac:dyDescent="0.3">
      <c r="A444" s="25">
        <v>200</v>
      </c>
      <c r="B444" s="25">
        <v>48.43</v>
      </c>
    </row>
    <row r="445" spans="1:2" ht="15.6" x14ac:dyDescent="0.3">
      <c r="A445" s="25">
        <v>205</v>
      </c>
      <c r="B445" s="25">
        <v>49.49</v>
      </c>
    </row>
    <row r="446" spans="1:2" ht="15.6" x14ac:dyDescent="0.3">
      <c r="A446" s="25">
        <v>210</v>
      </c>
      <c r="B446" s="25">
        <v>50.59</v>
      </c>
    </row>
    <row r="447" spans="1:2" ht="15.6" x14ac:dyDescent="0.3">
      <c r="A447" s="25">
        <v>215</v>
      </c>
      <c r="B447" s="25">
        <v>51.7</v>
      </c>
    </row>
    <row r="448" spans="1:2" ht="15.6" x14ac:dyDescent="0.3">
      <c r="A448" s="25">
        <v>220</v>
      </c>
      <c r="B448" s="25">
        <v>52.8</v>
      </c>
    </row>
    <row r="449" spans="1:2" ht="15.6" x14ac:dyDescent="0.3">
      <c r="A449" s="25">
        <v>225</v>
      </c>
      <c r="B449" s="25">
        <v>53.9</v>
      </c>
    </row>
    <row r="450" spans="1:2" ht="15.6" x14ac:dyDescent="0.3">
      <c r="A450" s="25">
        <v>230</v>
      </c>
      <c r="B450" s="25">
        <v>55</v>
      </c>
    </row>
    <row r="451" spans="1:2" ht="15.6" x14ac:dyDescent="0.3">
      <c r="A451" s="25">
        <v>235</v>
      </c>
      <c r="B451" s="25">
        <v>56.1</v>
      </c>
    </row>
    <row r="452" spans="1:2" ht="15.6" x14ac:dyDescent="0.3">
      <c r="A452" s="25">
        <v>240</v>
      </c>
      <c r="B452" s="25">
        <v>57.19</v>
      </c>
    </row>
    <row r="453" spans="1:2" ht="15.6" x14ac:dyDescent="0.3">
      <c r="A453" s="25">
        <v>245</v>
      </c>
      <c r="B453" s="25">
        <v>58.29</v>
      </c>
    </row>
    <row r="454" spans="1:2" ht="15.6" x14ac:dyDescent="0.3">
      <c r="A454" s="25">
        <v>250</v>
      </c>
      <c r="B454" s="25">
        <v>59.38</v>
      </c>
    </row>
    <row r="455" spans="1:2" ht="15.6" x14ac:dyDescent="0.3">
      <c r="A455" s="25">
        <v>255</v>
      </c>
      <c r="B455" s="25">
        <v>60.48</v>
      </c>
    </row>
    <row r="456" spans="1:2" ht="15.6" x14ac:dyDescent="0.3">
      <c r="A456" s="25">
        <v>260</v>
      </c>
      <c r="B456" s="25">
        <v>61.57</v>
      </c>
    </row>
    <row r="457" spans="1:2" ht="15.6" x14ac:dyDescent="0.3">
      <c r="A457" s="25">
        <v>265</v>
      </c>
      <c r="B457" s="25">
        <v>62.66</v>
      </c>
    </row>
    <row r="458" spans="1:2" ht="15.6" x14ac:dyDescent="0.3">
      <c r="A458" s="25">
        <v>270</v>
      </c>
      <c r="B458" s="25">
        <v>63.75</v>
      </c>
    </row>
    <row r="459" spans="1:2" ht="15.6" x14ac:dyDescent="0.3">
      <c r="A459" s="25">
        <v>275</v>
      </c>
      <c r="B459" s="25">
        <v>64.849999999999994</v>
      </c>
    </row>
    <row r="460" spans="1:2" ht="15.6" x14ac:dyDescent="0.3">
      <c r="A460" s="25">
        <v>280</v>
      </c>
      <c r="B460" s="25">
        <v>65.94</v>
      </c>
    </row>
    <row r="461" spans="1:2" ht="15.6" x14ac:dyDescent="0.3">
      <c r="A461" s="25">
        <v>285</v>
      </c>
      <c r="B461" s="25">
        <v>67.03</v>
      </c>
    </row>
    <row r="462" spans="1:2" ht="15.6" x14ac:dyDescent="0.3">
      <c r="A462" s="25">
        <v>290</v>
      </c>
      <c r="B462" s="25">
        <v>68.12</v>
      </c>
    </row>
    <row r="463" spans="1:2" ht="15.6" x14ac:dyDescent="0.3">
      <c r="A463" s="25">
        <v>295</v>
      </c>
      <c r="B463" s="25">
        <v>69.2</v>
      </c>
    </row>
    <row r="464" spans="1:2" ht="15.6" x14ac:dyDescent="0.3">
      <c r="A464" s="25">
        <v>300</v>
      </c>
      <c r="B464" s="25">
        <v>70.290000000000006</v>
      </c>
    </row>
    <row r="465" spans="1:2" ht="15.6" x14ac:dyDescent="0.3">
      <c r="A465" s="25">
        <v>305</v>
      </c>
      <c r="B465" s="25">
        <v>71.38</v>
      </c>
    </row>
    <row r="466" spans="1:2" ht="15.6" x14ac:dyDescent="0.3">
      <c r="A466" s="25">
        <v>315</v>
      </c>
      <c r="B466" s="25">
        <v>73.55</v>
      </c>
    </row>
    <row r="467" spans="1:2" ht="15.6" x14ac:dyDescent="0.3">
      <c r="A467" s="25">
        <v>320</v>
      </c>
      <c r="B467" s="25">
        <v>74.63</v>
      </c>
    </row>
    <row r="468" spans="1:2" ht="15.6" x14ac:dyDescent="0.3">
      <c r="A468" s="25">
        <v>325</v>
      </c>
      <c r="B468" s="25">
        <v>75.72</v>
      </c>
    </row>
    <row r="469" spans="1:2" ht="15.6" x14ac:dyDescent="0.3">
      <c r="A469" s="25">
        <v>330</v>
      </c>
      <c r="B469" s="25">
        <v>76.8</v>
      </c>
    </row>
    <row r="470" spans="1:2" ht="15.6" x14ac:dyDescent="0.3">
      <c r="A470" s="25">
        <v>335</v>
      </c>
      <c r="B470" s="25">
        <v>77.88</v>
      </c>
    </row>
    <row r="471" spans="1:2" ht="15.6" x14ac:dyDescent="0.3">
      <c r="A471" s="25">
        <v>340</v>
      </c>
      <c r="B471" s="25">
        <v>78.959999999999994</v>
      </c>
    </row>
    <row r="472" spans="1:2" ht="15.6" x14ac:dyDescent="0.3">
      <c r="A472" s="25">
        <v>345</v>
      </c>
      <c r="B472" s="25">
        <v>80.040000000000006</v>
      </c>
    </row>
    <row r="473" spans="1:2" ht="15.6" x14ac:dyDescent="0.3">
      <c r="A473" s="25">
        <v>350</v>
      </c>
      <c r="B473" s="25">
        <v>81.12</v>
      </c>
    </row>
    <row r="474" spans="1:2" ht="15.6" x14ac:dyDescent="0.3">
      <c r="A474" s="25">
        <v>355</v>
      </c>
      <c r="B474" s="25">
        <v>82.2</v>
      </c>
    </row>
    <row r="475" spans="1:2" ht="15.6" x14ac:dyDescent="0.3">
      <c r="A475" s="25">
        <v>360</v>
      </c>
      <c r="B475" s="25">
        <v>83.28</v>
      </c>
    </row>
    <row r="476" spans="1:2" ht="15.6" x14ac:dyDescent="0.3">
      <c r="A476" s="25">
        <v>365</v>
      </c>
      <c r="B476" s="25">
        <v>84.36</v>
      </c>
    </row>
    <row r="477" spans="1:2" ht="15.6" x14ac:dyDescent="0.3">
      <c r="A477" s="25">
        <v>370</v>
      </c>
      <c r="B477" s="25">
        <v>85.44</v>
      </c>
    </row>
    <row r="478" spans="1:2" ht="15.6" x14ac:dyDescent="0.3">
      <c r="A478" s="25">
        <v>375</v>
      </c>
      <c r="B478" s="25">
        <v>86.52</v>
      </c>
    </row>
    <row r="479" spans="1:2" ht="15.6" x14ac:dyDescent="0.3">
      <c r="A479" s="25">
        <v>380</v>
      </c>
      <c r="B479" s="25">
        <v>87.6</v>
      </c>
    </row>
    <row r="480" spans="1:2" ht="15.6" x14ac:dyDescent="0.3">
      <c r="A480" s="25">
        <v>385</v>
      </c>
      <c r="B480" s="25">
        <v>88.67</v>
      </c>
    </row>
    <row r="481" spans="1:2" ht="15.6" x14ac:dyDescent="0.3">
      <c r="A481" s="25">
        <v>390</v>
      </c>
      <c r="B481" s="25">
        <v>89.75</v>
      </c>
    </row>
    <row r="482" spans="1:2" ht="15.6" x14ac:dyDescent="0.3">
      <c r="A482" s="25">
        <v>395</v>
      </c>
      <c r="B482" s="25">
        <v>90.82</v>
      </c>
    </row>
    <row r="483" spans="1:2" ht="15.6" x14ac:dyDescent="0.3">
      <c r="A483" s="25">
        <v>400</v>
      </c>
      <c r="B483" s="25">
        <v>91.9</v>
      </c>
    </row>
    <row r="484" spans="1:2" ht="15.6" x14ac:dyDescent="0.3">
      <c r="A484" s="25">
        <v>405</v>
      </c>
      <c r="B484" s="25">
        <v>92.97</v>
      </c>
    </row>
    <row r="485" spans="1:2" ht="15.6" x14ac:dyDescent="0.3">
      <c r="A485" s="25">
        <v>410</v>
      </c>
      <c r="B485" s="25">
        <v>94.05</v>
      </c>
    </row>
    <row r="486" spans="1:2" ht="15.6" x14ac:dyDescent="0.3">
      <c r="A486" s="25">
        <v>415</v>
      </c>
      <c r="B486" s="25">
        <v>95.12</v>
      </c>
    </row>
    <row r="487" spans="1:2" ht="15.6" x14ac:dyDescent="0.3">
      <c r="A487" s="25">
        <v>420</v>
      </c>
      <c r="B487" s="25">
        <v>96.2</v>
      </c>
    </row>
    <row r="488" spans="1:2" ht="15.6" x14ac:dyDescent="0.3">
      <c r="A488" s="25">
        <v>425</v>
      </c>
      <c r="B488" s="25">
        <v>97.27</v>
      </c>
    </row>
    <row r="489" spans="1:2" ht="15.6" x14ac:dyDescent="0.3">
      <c r="A489" s="25">
        <v>430</v>
      </c>
      <c r="B489" s="25">
        <v>98.34</v>
      </c>
    </row>
    <row r="490" spans="1:2" ht="15.6" x14ac:dyDescent="0.3">
      <c r="A490" s="25">
        <v>435</v>
      </c>
      <c r="B490" s="25">
        <v>99.41</v>
      </c>
    </row>
    <row r="491" spans="1:2" ht="15.6" x14ac:dyDescent="0.3">
      <c r="A491" s="25">
        <v>440</v>
      </c>
      <c r="B491" s="25">
        <v>100.49</v>
      </c>
    </row>
    <row r="492" spans="1:2" ht="15.6" x14ac:dyDescent="0.3">
      <c r="A492" s="25">
        <v>445</v>
      </c>
      <c r="B492" s="25">
        <v>101.56</v>
      </c>
    </row>
    <row r="493" spans="1:2" ht="15.6" x14ac:dyDescent="0.3">
      <c r="A493" s="25">
        <v>450</v>
      </c>
      <c r="B493" s="25">
        <v>102.63</v>
      </c>
    </row>
    <row r="494" spans="1:2" ht="15.6" x14ac:dyDescent="0.3">
      <c r="A494" s="25">
        <v>455</v>
      </c>
      <c r="B494" s="25">
        <v>103.7</v>
      </c>
    </row>
    <row r="495" spans="1:2" ht="15.6" x14ac:dyDescent="0.3">
      <c r="A495" s="25">
        <v>460</v>
      </c>
      <c r="B495" s="25">
        <v>104.77</v>
      </c>
    </row>
    <row r="496" spans="1:2" ht="15.6" x14ac:dyDescent="0.3">
      <c r="A496" s="25">
        <v>465</v>
      </c>
      <c r="B496" s="25">
        <v>105.84</v>
      </c>
    </row>
    <row r="497" spans="1:2" ht="15.6" x14ac:dyDescent="0.3">
      <c r="A497" s="25">
        <v>470</v>
      </c>
      <c r="B497" s="25">
        <v>106.91</v>
      </c>
    </row>
    <row r="498" spans="1:2" ht="15.6" x14ac:dyDescent="0.3">
      <c r="A498" s="25">
        <v>475</v>
      </c>
      <c r="B498" s="25">
        <v>107.98</v>
      </c>
    </row>
    <row r="499" spans="1:2" ht="15.6" x14ac:dyDescent="0.3">
      <c r="A499" s="25">
        <v>480</v>
      </c>
      <c r="B499" s="25">
        <v>109.05</v>
      </c>
    </row>
    <row r="500" spans="1:2" ht="15.6" x14ac:dyDescent="0.3">
      <c r="A500" s="25">
        <v>485</v>
      </c>
      <c r="B500" s="25">
        <v>110.11</v>
      </c>
    </row>
    <row r="501" spans="1:2" ht="15.6" x14ac:dyDescent="0.3">
      <c r="A501" s="25">
        <v>490</v>
      </c>
      <c r="B501" s="25">
        <v>111.18</v>
      </c>
    </row>
    <row r="502" spans="1:2" ht="15.6" x14ac:dyDescent="0.3">
      <c r="A502" s="25">
        <v>495</v>
      </c>
      <c r="B502" s="25">
        <v>112.25</v>
      </c>
    </row>
    <row r="503" spans="1:2" ht="15.6" x14ac:dyDescent="0.3">
      <c r="A503" s="25">
        <v>500</v>
      </c>
      <c r="B503" s="25">
        <v>113.32</v>
      </c>
    </row>
    <row r="504" spans="1:2" ht="15.6" x14ac:dyDescent="0.3">
      <c r="A504" s="25">
        <v>505</v>
      </c>
      <c r="B504" s="25">
        <v>114.38</v>
      </c>
    </row>
    <row r="505" spans="1:2" ht="15.6" x14ac:dyDescent="0.3">
      <c r="A505" s="25">
        <v>510</v>
      </c>
      <c r="B505" s="25">
        <v>115.45</v>
      </c>
    </row>
    <row r="506" spans="1:2" ht="15.6" x14ac:dyDescent="0.3">
      <c r="A506" s="25">
        <v>515</v>
      </c>
      <c r="B506" s="25">
        <v>116.52</v>
      </c>
    </row>
    <row r="507" spans="1:2" ht="15.6" x14ac:dyDescent="0.3">
      <c r="A507" s="25">
        <v>520</v>
      </c>
      <c r="B507" s="25">
        <v>117.58</v>
      </c>
    </row>
    <row r="508" spans="1:2" ht="15.6" x14ac:dyDescent="0.3">
      <c r="A508" s="25">
        <v>525</v>
      </c>
      <c r="B508" s="25">
        <v>118.65</v>
      </c>
    </row>
    <row r="509" spans="1:2" ht="15.6" x14ac:dyDescent="0.3">
      <c r="A509" s="25">
        <v>535</v>
      </c>
      <c r="B509" s="25">
        <v>120.78</v>
      </c>
    </row>
    <row r="510" spans="1:2" ht="15.6" x14ac:dyDescent="0.3">
      <c r="A510" s="25">
        <v>540</v>
      </c>
      <c r="B510" s="25">
        <v>121.84</v>
      </c>
    </row>
    <row r="511" spans="1:2" ht="15.6" x14ac:dyDescent="0.3">
      <c r="A511" s="25">
        <v>545</v>
      </c>
      <c r="B511" s="25">
        <v>122.91</v>
      </c>
    </row>
    <row r="512" spans="1:2" ht="15.6" x14ac:dyDescent="0.3">
      <c r="A512" s="25">
        <v>550</v>
      </c>
      <c r="B512" s="25">
        <v>123.97</v>
      </c>
    </row>
    <row r="513" spans="1:2" ht="15.6" x14ac:dyDescent="0.3">
      <c r="A513" s="25">
        <v>555</v>
      </c>
      <c r="B513" s="25">
        <v>125.04</v>
      </c>
    </row>
    <row r="514" spans="1:2" ht="15.6" x14ac:dyDescent="0.3">
      <c r="A514" s="25">
        <v>560</v>
      </c>
      <c r="B514" s="25">
        <v>126.1</v>
      </c>
    </row>
    <row r="515" spans="1:2" ht="15.6" x14ac:dyDescent="0.3">
      <c r="A515" s="25">
        <v>565</v>
      </c>
      <c r="B515" s="25">
        <v>127.16</v>
      </c>
    </row>
    <row r="516" spans="1:2" ht="15.6" x14ac:dyDescent="0.3">
      <c r="A516" s="25">
        <v>570</v>
      </c>
      <c r="B516" s="25">
        <v>128.22</v>
      </c>
    </row>
    <row r="517" spans="1:2" ht="15.6" x14ac:dyDescent="0.3">
      <c r="A517" s="25">
        <v>575</v>
      </c>
      <c r="B517" s="25">
        <v>129.29</v>
      </c>
    </row>
    <row r="518" spans="1:2" ht="15.6" x14ac:dyDescent="0.3">
      <c r="A518" s="25">
        <v>580</v>
      </c>
      <c r="B518" s="25">
        <v>130.35</v>
      </c>
    </row>
    <row r="519" spans="1:2" ht="15.6" x14ac:dyDescent="0.3">
      <c r="A519" s="25">
        <v>585</v>
      </c>
      <c r="B519" s="25">
        <v>131.41</v>
      </c>
    </row>
    <row r="520" spans="1:2" ht="15.6" x14ac:dyDescent="0.3">
      <c r="A520" s="25">
        <v>590</v>
      </c>
      <c r="B520" s="25">
        <v>132.47</v>
      </c>
    </row>
    <row r="521" spans="1:2" ht="15.6" x14ac:dyDescent="0.3">
      <c r="A521" s="25">
        <v>595</v>
      </c>
      <c r="B521" s="25">
        <v>133.54</v>
      </c>
    </row>
    <row r="522" spans="1:2" ht="15.6" x14ac:dyDescent="0.3">
      <c r="A522" s="25">
        <v>600</v>
      </c>
      <c r="B522" s="25">
        <v>134.6</v>
      </c>
    </row>
    <row r="523" spans="1:2" ht="15.6" x14ac:dyDescent="0.3">
      <c r="A523" s="25">
        <v>605</v>
      </c>
      <c r="B523" s="25">
        <v>135.66</v>
      </c>
    </row>
    <row r="524" spans="1:2" ht="15.6" x14ac:dyDescent="0.3">
      <c r="A524" s="25">
        <v>610</v>
      </c>
      <c r="B524" s="25">
        <v>136.72</v>
      </c>
    </row>
    <row r="525" spans="1:2" ht="15.6" x14ac:dyDescent="0.3">
      <c r="A525" s="25">
        <v>615</v>
      </c>
      <c r="B525" s="25">
        <v>137.78</v>
      </c>
    </row>
    <row r="526" spans="1:2" ht="15.6" x14ac:dyDescent="0.3">
      <c r="A526" s="25">
        <v>620</v>
      </c>
      <c r="B526" s="25">
        <v>138.84</v>
      </c>
    </row>
    <row r="527" spans="1:2" ht="15.6" x14ac:dyDescent="0.3">
      <c r="A527" s="25">
        <v>625</v>
      </c>
      <c r="B527" s="25">
        <v>139.9</v>
      </c>
    </row>
    <row r="528" spans="1:2" ht="15.6" x14ac:dyDescent="0.3">
      <c r="A528" s="25">
        <v>630</v>
      </c>
      <c r="B528" s="25">
        <v>140.96</v>
      </c>
    </row>
    <row r="529" spans="1:2" ht="15.6" x14ac:dyDescent="0.3">
      <c r="A529" s="25">
        <v>635</v>
      </c>
      <c r="B529" s="25">
        <v>142.02000000000001</v>
      </c>
    </row>
    <row r="530" spans="1:2" ht="15.6" x14ac:dyDescent="0.3">
      <c r="A530" s="25">
        <v>640</v>
      </c>
      <c r="B530" s="25">
        <v>143.08000000000001</v>
      </c>
    </row>
    <row r="531" spans="1:2" ht="15.6" x14ac:dyDescent="0.3">
      <c r="A531" s="25">
        <v>645</v>
      </c>
      <c r="B531" s="25">
        <v>144.13999999999999</v>
      </c>
    </row>
    <row r="532" spans="1:2" ht="15.6" x14ac:dyDescent="0.3">
      <c r="A532" s="25">
        <v>650</v>
      </c>
      <c r="B532" s="25">
        <v>145.19999999999999</v>
      </c>
    </row>
    <row r="533" spans="1:2" ht="15.6" x14ac:dyDescent="0.3">
      <c r="A533" s="25">
        <v>655</v>
      </c>
      <c r="B533" s="25">
        <v>146.25</v>
      </c>
    </row>
    <row r="534" spans="1:2" ht="15.6" x14ac:dyDescent="0.3">
      <c r="A534" s="25">
        <v>660</v>
      </c>
      <c r="B534" s="25">
        <v>147.31</v>
      </c>
    </row>
    <row r="535" spans="1:2" ht="15.6" x14ac:dyDescent="0.3">
      <c r="A535" s="25">
        <v>665</v>
      </c>
      <c r="B535" s="25">
        <v>148.37</v>
      </c>
    </row>
    <row r="536" spans="1:2" ht="15.6" x14ac:dyDescent="0.3">
      <c r="A536" s="25">
        <v>670</v>
      </c>
      <c r="B536" s="25">
        <v>149.43</v>
      </c>
    </row>
    <row r="537" spans="1:2" ht="15.6" x14ac:dyDescent="0.3">
      <c r="A537" s="25">
        <v>675</v>
      </c>
      <c r="B537" s="25">
        <v>150.49</v>
      </c>
    </row>
    <row r="538" spans="1:2" ht="15.6" x14ac:dyDescent="0.3">
      <c r="A538" s="25">
        <v>685</v>
      </c>
      <c r="B538" s="25">
        <v>152.6</v>
      </c>
    </row>
    <row r="539" spans="1:2" ht="15.6" x14ac:dyDescent="0.3">
      <c r="A539" s="25">
        <v>690</v>
      </c>
      <c r="B539" s="25">
        <v>153.66</v>
      </c>
    </row>
    <row r="540" spans="1:2" ht="15.6" x14ac:dyDescent="0.3">
      <c r="A540" s="25">
        <v>695</v>
      </c>
      <c r="B540" s="25">
        <v>154.72</v>
      </c>
    </row>
    <row r="541" spans="1:2" ht="15.6" x14ac:dyDescent="0.3">
      <c r="A541" s="25">
        <v>700</v>
      </c>
      <c r="B541" s="25">
        <v>155.77000000000001</v>
      </c>
    </row>
    <row r="542" spans="1:2" ht="15.6" x14ac:dyDescent="0.3">
      <c r="A542" s="25">
        <v>705</v>
      </c>
      <c r="B542" s="25">
        <v>156.83000000000001</v>
      </c>
    </row>
    <row r="543" spans="1:2" ht="15.6" x14ac:dyDescent="0.3">
      <c r="A543" s="25">
        <v>710</v>
      </c>
      <c r="B543" s="25">
        <v>157.88999999999999</v>
      </c>
    </row>
    <row r="544" spans="1:2" ht="15.6" x14ac:dyDescent="0.3">
      <c r="A544" s="25">
        <v>715</v>
      </c>
      <c r="B544" s="25">
        <v>158.94</v>
      </c>
    </row>
    <row r="545" spans="1:2" ht="15.6" x14ac:dyDescent="0.3">
      <c r="A545" s="25">
        <v>720</v>
      </c>
      <c r="B545" s="25">
        <v>160</v>
      </c>
    </row>
    <row r="546" spans="1:2" ht="15.6" x14ac:dyDescent="0.3">
      <c r="A546" s="25">
        <v>725</v>
      </c>
      <c r="B546" s="25">
        <v>161.06</v>
      </c>
    </row>
    <row r="547" spans="1:2" ht="15.6" x14ac:dyDescent="0.3">
      <c r="A547" s="25">
        <v>730</v>
      </c>
      <c r="B547" s="25">
        <v>162.11000000000001</v>
      </c>
    </row>
    <row r="548" spans="1:2" ht="15.6" x14ac:dyDescent="0.3">
      <c r="A548" s="25">
        <v>735</v>
      </c>
      <c r="B548" s="25">
        <v>163.16999999999999</v>
      </c>
    </row>
    <row r="549" spans="1:2" ht="15.6" x14ac:dyDescent="0.3">
      <c r="A549" s="25">
        <v>740</v>
      </c>
      <c r="B549" s="25">
        <v>164.22</v>
      </c>
    </row>
    <row r="550" spans="1:2" ht="15.6" x14ac:dyDescent="0.3">
      <c r="A550" s="25">
        <v>745</v>
      </c>
      <c r="B550" s="25">
        <v>165.28</v>
      </c>
    </row>
    <row r="551" spans="1:2" ht="15.6" x14ac:dyDescent="0.3">
      <c r="A551" s="25">
        <v>755</v>
      </c>
      <c r="B551" s="25">
        <v>167.39</v>
      </c>
    </row>
    <row r="552" spans="1:2" ht="15.6" x14ac:dyDescent="0.3">
      <c r="A552" s="25">
        <v>760</v>
      </c>
      <c r="B552" s="25">
        <v>168.44</v>
      </c>
    </row>
    <row r="553" spans="1:2" ht="15.6" x14ac:dyDescent="0.3">
      <c r="A553" s="25">
        <v>765</v>
      </c>
      <c r="B553" s="25">
        <v>169.5</v>
      </c>
    </row>
    <row r="554" spans="1:2" ht="15.6" x14ac:dyDescent="0.3">
      <c r="A554" s="25">
        <v>770</v>
      </c>
      <c r="B554" s="25">
        <v>170.55</v>
      </c>
    </row>
    <row r="555" spans="1:2" ht="15.6" x14ac:dyDescent="0.3">
      <c r="A555" s="25">
        <v>775</v>
      </c>
      <c r="B555" s="25">
        <v>171.6</v>
      </c>
    </row>
    <row r="556" spans="1:2" ht="15.6" x14ac:dyDescent="0.3">
      <c r="A556" s="25">
        <v>780</v>
      </c>
      <c r="B556" s="25">
        <v>172.66</v>
      </c>
    </row>
    <row r="557" spans="1:2" ht="15.6" x14ac:dyDescent="0.3">
      <c r="A557" s="25">
        <v>785</v>
      </c>
      <c r="B557" s="25">
        <v>173.71</v>
      </c>
    </row>
    <row r="558" spans="1:2" ht="15.6" x14ac:dyDescent="0.3">
      <c r="A558" s="25">
        <v>790</v>
      </c>
      <c r="B558" s="25">
        <v>174.76</v>
      </c>
    </row>
    <row r="559" spans="1:2" ht="15.6" x14ac:dyDescent="0.3">
      <c r="A559" s="25">
        <v>795</v>
      </c>
      <c r="B559" s="25">
        <v>175.82</v>
      </c>
    </row>
    <row r="560" spans="1:2" ht="15.6" x14ac:dyDescent="0.3">
      <c r="A560" s="25">
        <v>800</v>
      </c>
      <c r="B560" s="25">
        <v>176.87</v>
      </c>
    </row>
    <row r="561" spans="1:2" ht="15.6" x14ac:dyDescent="0.3">
      <c r="A561" s="25">
        <v>810</v>
      </c>
      <c r="B561" s="25">
        <v>178.98</v>
      </c>
    </row>
    <row r="562" spans="1:2" ht="15.6" x14ac:dyDescent="0.3">
      <c r="A562" s="25">
        <v>820</v>
      </c>
      <c r="B562" s="25">
        <v>181.08</v>
      </c>
    </row>
    <row r="563" spans="1:2" ht="15.6" x14ac:dyDescent="0.3">
      <c r="A563" s="25">
        <v>830</v>
      </c>
      <c r="B563" s="25">
        <v>183.19</v>
      </c>
    </row>
    <row r="564" spans="1:2" ht="15.6" x14ac:dyDescent="0.3">
      <c r="A564" s="25">
        <v>840</v>
      </c>
      <c r="B564" s="25">
        <v>185.29</v>
      </c>
    </row>
    <row r="565" spans="1:2" ht="15.6" x14ac:dyDescent="0.3">
      <c r="A565" s="25">
        <v>850</v>
      </c>
      <c r="B565" s="25">
        <v>187.39</v>
      </c>
    </row>
    <row r="566" spans="1:2" ht="15.6" x14ac:dyDescent="0.3">
      <c r="A566" s="25">
        <v>860</v>
      </c>
      <c r="B566" s="25">
        <v>189.49</v>
      </c>
    </row>
    <row r="567" spans="1:2" ht="15.6" x14ac:dyDescent="0.3">
      <c r="A567" s="25">
        <v>870</v>
      </c>
      <c r="B567" s="25">
        <v>191.6</v>
      </c>
    </row>
    <row r="568" spans="1:2" ht="15.6" x14ac:dyDescent="0.3">
      <c r="A568" s="25">
        <v>880</v>
      </c>
      <c r="B568" s="25">
        <v>193.7</v>
      </c>
    </row>
    <row r="569" spans="1:2" ht="15.6" x14ac:dyDescent="0.3">
      <c r="A569" s="25">
        <v>890</v>
      </c>
      <c r="B569" s="25">
        <v>195.7</v>
      </c>
    </row>
    <row r="570" spans="1:2" ht="15.6" x14ac:dyDescent="0.3">
      <c r="A570" s="25">
        <v>900</v>
      </c>
      <c r="B570" s="25">
        <v>197.9</v>
      </c>
    </row>
    <row r="571" spans="1:2" ht="15.6" x14ac:dyDescent="0.3">
      <c r="A571" s="25">
        <v>910</v>
      </c>
      <c r="B571" s="25">
        <v>200</v>
      </c>
    </row>
    <row r="572" spans="1:2" ht="15.6" x14ac:dyDescent="0.3">
      <c r="A572" s="25">
        <v>920</v>
      </c>
      <c r="B572" s="25">
        <v>202.1</v>
      </c>
    </row>
    <row r="573" spans="1:2" ht="15.6" x14ac:dyDescent="0.3">
      <c r="A573" s="25">
        <v>930</v>
      </c>
      <c r="B573" s="25">
        <v>204.2</v>
      </c>
    </row>
    <row r="574" spans="1:2" ht="15.6" x14ac:dyDescent="0.3">
      <c r="A574" s="25">
        <v>940</v>
      </c>
      <c r="B574" s="25">
        <v>206.3</v>
      </c>
    </row>
    <row r="575" spans="1:2" ht="15.6" x14ac:dyDescent="0.3">
      <c r="A575" s="25">
        <v>950</v>
      </c>
      <c r="B575" s="25">
        <v>208.39</v>
      </c>
    </row>
    <row r="576" spans="1:2" ht="15.6" x14ac:dyDescent="0.3">
      <c r="A576" s="25">
        <v>960</v>
      </c>
      <c r="B576" s="25">
        <v>210.49</v>
      </c>
    </row>
    <row r="577" spans="1:2" ht="15.6" x14ac:dyDescent="0.3">
      <c r="A577" s="25">
        <v>970</v>
      </c>
      <c r="B577" s="25">
        <v>212.59</v>
      </c>
    </row>
    <row r="578" spans="1:2" ht="15.6" x14ac:dyDescent="0.3">
      <c r="A578" s="25">
        <v>980</v>
      </c>
      <c r="B578" s="25">
        <v>214.68</v>
      </c>
    </row>
    <row r="579" spans="1:2" ht="15.6" x14ac:dyDescent="0.3">
      <c r="A579" s="25">
        <v>990</v>
      </c>
      <c r="B579" s="25">
        <v>216.78</v>
      </c>
    </row>
    <row r="580" spans="1:2" ht="15.6" x14ac:dyDescent="0.3">
      <c r="A580" s="25">
        <v>1000</v>
      </c>
      <c r="B580" s="25">
        <v>218.87</v>
      </c>
    </row>
    <row r="581" spans="1:2" ht="15.6" x14ac:dyDescent="0.3">
      <c r="A581" s="25">
        <v>1250</v>
      </c>
      <c r="B581" s="25">
        <v>271.14</v>
      </c>
    </row>
    <row r="582" spans="1:2" ht="15.6" x14ac:dyDescent="0.3">
      <c r="A582" s="25">
        <v>1600</v>
      </c>
      <c r="B582" s="25">
        <v>343.9</v>
      </c>
    </row>
    <row r="583" spans="1:2" ht="15.6" x14ac:dyDescent="0.3">
      <c r="A583" s="25">
        <v>2000</v>
      </c>
      <c r="B583" s="25">
        <v>426.8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4"/>
  <sheetViews>
    <sheetView workbookViewId="0"/>
  </sheetViews>
  <sheetFormatPr defaultRowHeight="14.4" x14ac:dyDescent="0.3"/>
  <sheetData>
    <row r="1" spans="1:11" ht="15.6" x14ac:dyDescent="0.3">
      <c r="A1" s="27" t="s">
        <v>115</v>
      </c>
    </row>
    <row r="2" spans="1:11" ht="15.6" x14ac:dyDescent="0.3">
      <c r="A2" s="27" t="s">
        <v>116</v>
      </c>
      <c r="B2" s="24">
        <v>0.1</v>
      </c>
      <c r="C2" s="24">
        <v>0.125</v>
      </c>
      <c r="D2" s="24">
        <v>0.16</v>
      </c>
      <c r="E2" s="24">
        <v>0.2</v>
      </c>
      <c r="F2" s="24">
        <v>0.25</v>
      </c>
      <c r="G2" s="24">
        <v>0.316</v>
      </c>
      <c r="H2" s="24">
        <v>0.4</v>
      </c>
      <c r="I2" s="24">
        <v>0.5</v>
      </c>
      <c r="J2" s="24">
        <v>0.63</v>
      </c>
      <c r="K2" s="24">
        <v>0.8</v>
      </c>
    </row>
    <row r="3" spans="1:11" ht="15.6" x14ac:dyDescent="0.3">
      <c r="A3" s="27">
        <v>2</v>
      </c>
      <c r="B3" s="25">
        <v>0.39</v>
      </c>
      <c r="C3" s="25">
        <v>0.39</v>
      </c>
      <c r="D3" s="25">
        <v>0.4</v>
      </c>
      <c r="E3" s="25">
        <v>0.4</v>
      </c>
      <c r="F3" s="25">
        <v>0.4</v>
      </c>
      <c r="G3" s="25">
        <v>0.4</v>
      </c>
      <c r="H3" s="25">
        <v>0.4</v>
      </c>
      <c r="I3" s="25">
        <v>0.4</v>
      </c>
      <c r="J3" s="25">
        <v>0.4</v>
      </c>
      <c r="K3" s="25">
        <v>0.4</v>
      </c>
    </row>
    <row r="4" spans="1:11" ht="15.6" x14ac:dyDescent="0.3">
      <c r="A4" s="27">
        <v>4</v>
      </c>
      <c r="B4" s="25">
        <v>0.57999999999999996</v>
      </c>
      <c r="C4" s="25">
        <v>0.62</v>
      </c>
      <c r="D4" s="25">
        <v>0.65</v>
      </c>
      <c r="E4" s="25">
        <v>0.69</v>
      </c>
      <c r="F4" s="25">
        <v>0.72</v>
      </c>
      <c r="G4" s="25">
        <v>0.76</v>
      </c>
      <c r="H4" s="25">
        <v>0.78</v>
      </c>
      <c r="I4" s="25">
        <v>0.8</v>
      </c>
      <c r="J4" s="25">
        <v>0.8</v>
      </c>
      <c r="K4" s="25">
        <v>0.8</v>
      </c>
    </row>
    <row r="5" spans="1:11" ht="15.6" x14ac:dyDescent="0.3">
      <c r="A5" s="27">
        <v>6</v>
      </c>
      <c r="B5" s="25">
        <v>0.72</v>
      </c>
      <c r="C5" s="25">
        <v>0.78</v>
      </c>
      <c r="D5" s="25">
        <v>0.83</v>
      </c>
      <c r="E5" s="25">
        <v>0.9</v>
      </c>
      <c r="F5" s="25">
        <v>0.97</v>
      </c>
      <c r="G5" s="25">
        <v>1.04</v>
      </c>
      <c r="H5" s="25">
        <v>1.1100000000000001</v>
      </c>
      <c r="I5" s="25">
        <v>1.1599999999999999</v>
      </c>
      <c r="J5" s="25">
        <v>1.2</v>
      </c>
      <c r="K5" s="25">
        <v>1.2</v>
      </c>
    </row>
    <row r="6" spans="1:11" ht="15.6" x14ac:dyDescent="0.3">
      <c r="A6" s="27">
        <v>8</v>
      </c>
      <c r="B6" s="25">
        <v>0.84</v>
      </c>
      <c r="C6" s="25">
        <v>0.91</v>
      </c>
      <c r="D6" s="25">
        <v>0.99</v>
      </c>
      <c r="E6" s="25">
        <v>1.08</v>
      </c>
      <c r="F6" s="25">
        <v>1.18</v>
      </c>
      <c r="G6" s="25">
        <v>1.29</v>
      </c>
      <c r="H6" s="25">
        <v>1.39</v>
      </c>
      <c r="I6" s="25">
        <v>1.5</v>
      </c>
      <c r="J6" s="25">
        <v>1.58</v>
      </c>
      <c r="K6" s="25">
        <v>1.59</v>
      </c>
    </row>
    <row r="7" spans="1:11" ht="15.6" x14ac:dyDescent="0.3">
      <c r="A7" s="27">
        <v>10</v>
      </c>
      <c r="B7" s="25">
        <v>0.95</v>
      </c>
      <c r="C7" s="25">
        <v>1.04</v>
      </c>
      <c r="D7" s="25">
        <v>1.1399999999999999</v>
      </c>
      <c r="E7" s="25">
        <v>1.25</v>
      </c>
      <c r="F7" s="25">
        <v>1.38</v>
      </c>
      <c r="G7" s="25">
        <v>1.52</v>
      </c>
      <c r="H7" s="25">
        <v>1.66</v>
      </c>
      <c r="I7" s="25">
        <v>1.81</v>
      </c>
      <c r="J7" s="25">
        <v>1.94</v>
      </c>
      <c r="K7" s="25">
        <v>1.97</v>
      </c>
    </row>
    <row r="8" spans="1:11" ht="15.6" x14ac:dyDescent="0.3">
      <c r="A8" s="27">
        <v>12</v>
      </c>
      <c r="B8" s="25">
        <v>1.05</v>
      </c>
      <c r="C8" s="25">
        <v>1.1499999999999999</v>
      </c>
      <c r="D8" s="25">
        <v>1.28</v>
      </c>
      <c r="E8" s="25">
        <v>1.41</v>
      </c>
      <c r="F8" s="25">
        <v>1.57</v>
      </c>
      <c r="G8" s="25">
        <v>1.74</v>
      </c>
      <c r="H8" s="25">
        <v>1.92</v>
      </c>
      <c r="I8" s="25">
        <v>2.11</v>
      </c>
      <c r="J8" s="25">
        <v>2.29</v>
      </c>
      <c r="K8" s="25">
        <v>2.36</v>
      </c>
    </row>
    <row r="9" spans="1:11" ht="15.6" x14ac:dyDescent="0.3">
      <c r="A9" s="27">
        <v>14</v>
      </c>
      <c r="B9" s="25">
        <v>1.1399999999999999</v>
      </c>
      <c r="C9" s="25">
        <v>1.27</v>
      </c>
      <c r="D9" s="25">
        <v>1.41</v>
      </c>
      <c r="E9" s="25">
        <v>1.57</v>
      </c>
      <c r="F9" s="25">
        <v>1.75</v>
      </c>
      <c r="G9" s="25">
        <v>1.95</v>
      </c>
      <c r="H9" s="25">
        <v>2.17</v>
      </c>
      <c r="I9" s="25">
        <v>2.4</v>
      </c>
      <c r="J9" s="25">
        <v>2.63</v>
      </c>
      <c r="K9" s="25">
        <v>2.75</v>
      </c>
    </row>
    <row r="10" spans="1:11" ht="15.6" x14ac:dyDescent="0.3">
      <c r="A10" s="27">
        <v>16</v>
      </c>
      <c r="B10" s="25">
        <v>1.25</v>
      </c>
      <c r="C10" s="25">
        <v>1.37</v>
      </c>
      <c r="D10" s="25">
        <v>1.53</v>
      </c>
      <c r="E10" s="25">
        <v>1.71</v>
      </c>
      <c r="F10" s="25">
        <v>1.92</v>
      </c>
      <c r="G10" s="25">
        <v>2.15</v>
      </c>
      <c r="H10" s="25">
        <v>2.41</v>
      </c>
      <c r="I10" s="25">
        <v>2.69</v>
      </c>
      <c r="J10" s="25">
        <v>2.96</v>
      </c>
      <c r="K10" s="25">
        <v>3.14</v>
      </c>
    </row>
    <row r="11" spans="1:11" ht="15.6" x14ac:dyDescent="0.3">
      <c r="A11" s="27">
        <v>18</v>
      </c>
      <c r="B11" s="25">
        <v>1.32</v>
      </c>
      <c r="C11" s="25">
        <v>1.47</v>
      </c>
      <c r="D11" s="25">
        <v>1.65</v>
      </c>
      <c r="E11" s="25">
        <v>1.85</v>
      </c>
      <c r="F11" s="25">
        <v>2.09</v>
      </c>
      <c r="G11" s="25">
        <v>2.35</v>
      </c>
      <c r="H11" s="25">
        <v>2.5499999999999998</v>
      </c>
      <c r="I11" s="25">
        <v>2.97</v>
      </c>
      <c r="J11" s="25">
        <v>3.24</v>
      </c>
      <c r="K11" s="25">
        <v>3.53</v>
      </c>
    </row>
    <row r="12" spans="1:11" ht="15.6" x14ac:dyDescent="0.3">
      <c r="A12" s="27">
        <v>20</v>
      </c>
      <c r="B12" s="25">
        <v>1.41</v>
      </c>
      <c r="C12" s="25">
        <v>1.57</v>
      </c>
      <c r="D12" s="25">
        <v>1.77</v>
      </c>
      <c r="E12" s="25">
        <v>1.99</v>
      </c>
      <c r="F12" s="25">
        <v>2.25</v>
      </c>
      <c r="G12" s="25">
        <v>2.5499999999999998</v>
      </c>
      <c r="H12" s="25">
        <v>2.88</v>
      </c>
      <c r="I12" s="25">
        <v>3.24</v>
      </c>
      <c r="J12" s="25">
        <v>3.6</v>
      </c>
      <c r="K12" s="25">
        <v>3.92</v>
      </c>
    </row>
    <row r="13" spans="1:11" ht="15.6" x14ac:dyDescent="0.3">
      <c r="A13" s="27">
        <v>22</v>
      </c>
      <c r="B13" s="25">
        <v>1.49</v>
      </c>
      <c r="C13" s="25">
        <v>1.67</v>
      </c>
      <c r="D13" s="25">
        <v>1.88</v>
      </c>
      <c r="E13" s="25">
        <v>2.13</v>
      </c>
      <c r="F13" s="25">
        <v>2.41</v>
      </c>
      <c r="G13" s="25">
        <v>2.74</v>
      </c>
      <c r="H13" s="25">
        <v>3.11</v>
      </c>
      <c r="I13" s="25">
        <v>3.51</v>
      </c>
      <c r="J13" s="25">
        <v>3.94</v>
      </c>
      <c r="K13" s="25">
        <v>4.33</v>
      </c>
    </row>
    <row r="14" spans="1:11" ht="15.6" x14ac:dyDescent="0.3">
      <c r="A14" s="27">
        <v>24</v>
      </c>
      <c r="B14" s="25">
        <v>1.57</v>
      </c>
      <c r="C14" s="25">
        <v>1.77</v>
      </c>
      <c r="D14" s="25">
        <v>2</v>
      </c>
      <c r="E14" s="25">
        <v>2.2599999999999998</v>
      </c>
      <c r="F14" s="25">
        <v>2.57</v>
      </c>
      <c r="G14" s="25">
        <v>2.93</v>
      </c>
      <c r="H14" s="25">
        <v>3.33</v>
      </c>
      <c r="I14" s="25">
        <v>3.78</v>
      </c>
      <c r="J14" s="25">
        <v>4.2699999999999996</v>
      </c>
      <c r="K14" s="25">
        <v>4.7</v>
      </c>
    </row>
    <row r="15" spans="1:11" ht="15.6" x14ac:dyDescent="0.3">
      <c r="A15" s="27">
        <v>26</v>
      </c>
      <c r="B15" s="25">
        <v>1.64</v>
      </c>
      <c r="C15" s="25">
        <v>1.86</v>
      </c>
      <c r="D15" s="25">
        <v>2.11</v>
      </c>
      <c r="E15" s="25">
        <v>2.39</v>
      </c>
      <c r="F15" s="25">
        <v>2.73</v>
      </c>
      <c r="G15" s="25">
        <v>3.11</v>
      </c>
      <c r="H15" s="25">
        <v>3.55</v>
      </c>
      <c r="I15" s="25">
        <v>4.04</v>
      </c>
      <c r="J15" s="25">
        <v>4.5999999999999996</v>
      </c>
      <c r="K15" s="25">
        <v>5.1100000000000003</v>
      </c>
    </row>
    <row r="16" spans="1:11" ht="15.6" x14ac:dyDescent="0.3">
      <c r="A16" s="27">
        <v>28</v>
      </c>
      <c r="B16" s="25">
        <v>1.72</v>
      </c>
      <c r="C16" s="25">
        <v>1.95</v>
      </c>
      <c r="D16" s="25">
        <v>2.21</v>
      </c>
      <c r="E16" s="25">
        <v>2.52</v>
      </c>
      <c r="F16" s="25">
        <v>2.88</v>
      </c>
      <c r="G16" s="25">
        <v>3.3</v>
      </c>
      <c r="H16" s="25">
        <v>3.77</v>
      </c>
      <c r="I16" s="25">
        <v>4.3</v>
      </c>
      <c r="J16" s="25">
        <v>4.9400000000000004</v>
      </c>
      <c r="K16" s="25">
        <v>5.51</v>
      </c>
    </row>
    <row r="17" spans="1:11" ht="15.6" x14ac:dyDescent="0.3">
      <c r="A17" s="27">
        <v>30</v>
      </c>
      <c r="B17" s="25">
        <v>1.8</v>
      </c>
      <c r="C17" s="25">
        <v>2.04</v>
      </c>
      <c r="D17" s="25">
        <v>2.3199999999999998</v>
      </c>
      <c r="E17" s="25">
        <v>2.65</v>
      </c>
      <c r="F17" s="25">
        <v>3.03</v>
      </c>
      <c r="G17" s="25">
        <v>3.48</v>
      </c>
      <c r="H17" s="25">
        <v>3.99</v>
      </c>
      <c r="I17" s="25">
        <v>4.5599999999999996</v>
      </c>
      <c r="J17" s="25">
        <v>5.27</v>
      </c>
      <c r="K17" s="25">
        <v>5.89</v>
      </c>
    </row>
    <row r="18" spans="1:11" ht="15.6" x14ac:dyDescent="0.3">
      <c r="A18" s="27">
        <v>32</v>
      </c>
      <c r="B18" s="25">
        <v>1.87</v>
      </c>
      <c r="C18" s="25">
        <v>2.13</v>
      </c>
      <c r="D18" s="25">
        <v>2.4300000000000002</v>
      </c>
      <c r="E18" s="25">
        <v>2.77</v>
      </c>
      <c r="F18" s="25">
        <v>3.18</v>
      </c>
      <c r="G18" s="25">
        <v>3.66</v>
      </c>
      <c r="H18" s="25">
        <v>4.2</v>
      </c>
      <c r="I18" s="25">
        <v>4.82</v>
      </c>
      <c r="J18" s="25">
        <v>5.6</v>
      </c>
      <c r="K18" s="25">
        <v>6.24</v>
      </c>
    </row>
    <row r="19" spans="1:11" ht="15.6" x14ac:dyDescent="0.3">
      <c r="A19" s="27">
        <v>34</v>
      </c>
      <c r="B19" s="25">
        <v>1.94</v>
      </c>
      <c r="C19" s="25">
        <v>2.21</v>
      </c>
      <c r="D19" s="25">
        <v>2.5299999999999998</v>
      </c>
      <c r="E19" s="25">
        <v>2.9</v>
      </c>
      <c r="F19" s="25">
        <v>3.33</v>
      </c>
      <c r="G19" s="25">
        <v>3.84</v>
      </c>
      <c r="H19" s="25">
        <v>4.42</v>
      </c>
      <c r="I19" s="25">
        <v>5.08</v>
      </c>
      <c r="J19" s="25">
        <v>5.92</v>
      </c>
      <c r="K19" s="25">
        <v>6.65</v>
      </c>
    </row>
    <row r="20" spans="1:11" ht="15.6" x14ac:dyDescent="0.3">
      <c r="A20" s="27">
        <v>36</v>
      </c>
      <c r="B20" s="25">
        <v>2.02</v>
      </c>
      <c r="C20" s="25">
        <v>2.2999999999999998</v>
      </c>
      <c r="D20" s="25">
        <v>2.63</v>
      </c>
      <c r="E20" s="25">
        <v>3.02</v>
      </c>
      <c r="F20" s="25">
        <v>3.48</v>
      </c>
      <c r="G20" s="25">
        <v>4.0199999999999996</v>
      </c>
      <c r="H20" s="25">
        <v>4.63</v>
      </c>
      <c r="I20" s="25">
        <v>5.33</v>
      </c>
      <c r="J20" s="25">
        <v>6.23</v>
      </c>
      <c r="K20" s="25">
        <v>7.02</v>
      </c>
    </row>
    <row r="21" spans="1:11" ht="15.6" x14ac:dyDescent="0.3">
      <c r="A21" s="27">
        <v>38</v>
      </c>
      <c r="B21" s="25">
        <v>2.09</v>
      </c>
      <c r="C21" s="25">
        <v>2.38</v>
      </c>
      <c r="D21" s="25">
        <v>2.73</v>
      </c>
      <c r="E21" s="25">
        <v>3.14</v>
      </c>
      <c r="F21" s="25">
        <v>3.62</v>
      </c>
      <c r="G21" s="25">
        <v>4.2</v>
      </c>
      <c r="H21" s="25">
        <v>4.84</v>
      </c>
      <c r="I21" s="25">
        <v>5.58</v>
      </c>
      <c r="J21" s="25">
        <v>6.6</v>
      </c>
      <c r="K21" s="25">
        <v>7.43</v>
      </c>
    </row>
    <row r="22" spans="1:11" ht="15.6" x14ac:dyDescent="0.3">
      <c r="A22" s="27">
        <v>40</v>
      </c>
      <c r="B22" s="25">
        <v>2.16</v>
      </c>
      <c r="C22" s="25">
        <v>2.4700000000000002</v>
      </c>
      <c r="D22" s="25">
        <v>2.83</v>
      </c>
      <c r="E22" s="25">
        <v>3.26</v>
      </c>
      <c r="F22" s="25">
        <v>3.77</v>
      </c>
      <c r="G22" s="25">
        <v>4.38</v>
      </c>
      <c r="H22" s="25">
        <v>5.05</v>
      </c>
      <c r="I22" s="25">
        <v>5.83</v>
      </c>
      <c r="J22" s="25">
        <v>6.91</v>
      </c>
      <c r="K22" s="25">
        <v>7.84</v>
      </c>
    </row>
    <row r="23" spans="1:11" ht="15.6" x14ac:dyDescent="0.3">
      <c r="A23" s="27">
        <v>45</v>
      </c>
      <c r="B23" s="25">
        <v>2.33</v>
      </c>
      <c r="C23" s="25">
        <v>2.67</v>
      </c>
      <c r="D23" s="25">
        <v>3.08</v>
      </c>
      <c r="E23" s="25">
        <v>3.53</v>
      </c>
      <c r="F23" s="25">
        <v>4.12</v>
      </c>
      <c r="G23" s="25">
        <v>4.78</v>
      </c>
      <c r="H23" s="25">
        <v>5.55</v>
      </c>
      <c r="I23" s="25">
        <v>6.45</v>
      </c>
      <c r="J23" s="25">
        <v>7.72</v>
      </c>
      <c r="K23" s="25">
        <v>8.8000000000000007</v>
      </c>
    </row>
    <row r="24" spans="1:11" ht="15.6" x14ac:dyDescent="0.3">
      <c r="A24" s="27">
        <v>50</v>
      </c>
      <c r="B24" s="25">
        <v>2.5</v>
      </c>
      <c r="C24" s="25">
        <v>2.88</v>
      </c>
      <c r="D24" s="25">
        <v>3.32</v>
      </c>
      <c r="E24" s="25">
        <v>3.8</v>
      </c>
      <c r="F24" s="25">
        <v>4.47</v>
      </c>
      <c r="G24" s="25">
        <v>5.18</v>
      </c>
      <c r="H24" s="25">
        <v>6.05</v>
      </c>
      <c r="I24" s="25">
        <v>7.07</v>
      </c>
      <c r="J24" s="25">
        <v>8.52</v>
      </c>
      <c r="K24" s="25">
        <v>9.9</v>
      </c>
    </row>
    <row r="25" spans="1:11" ht="15.6" x14ac:dyDescent="0.3">
      <c r="A25" s="27">
        <v>55</v>
      </c>
      <c r="B25" s="25">
        <v>2.66</v>
      </c>
      <c r="C25" s="25">
        <v>3.07</v>
      </c>
      <c r="D25" s="25">
        <v>3.56</v>
      </c>
      <c r="E25" s="25">
        <v>4.07</v>
      </c>
      <c r="F25" s="25">
        <v>4.82</v>
      </c>
      <c r="G25" s="25">
        <v>5.58</v>
      </c>
      <c r="H25" s="25">
        <v>6.55</v>
      </c>
      <c r="I25" s="25">
        <v>7.69</v>
      </c>
      <c r="J25" s="25">
        <v>9.4</v>
      </c>
      <c r="K25" s="25">
        <v>10.8</v>
      </c>
    </row>
    <row r="26" spans="1:11" ht="15.6" x14ac:dyDescent="0.3">
      <c r="A26" s="27">
        <v>60</v>
      </c>
      <c r="B26" s="25">
        <v>2.83</v>
      </c>
      <c r="C26" s="25">
        <v>3.27</v>
      </c>
      <c r="D26" s="25">
        <v>3.79</v>
      </c>
      <c r="E26" s="25">
        <v>4.34</v>
      </c>
      <c r="F26" s="25">
        <v>5.16</v>
      </c>
      <c r="G26" s="25">
        <v>5.98</v>
      </c>
      <c r="H26" s="25">
        <v>7.05</v>
      </c>
      <c r="I26" s="25">
        <v>8.31</v>
      </c>
      <c r="J26" s="25">
        <v>10.199999999999999</v>
      </c>
      <c r="K26" s="25">
        <v>11.8</v>
      </c>
    </row>
    <row r="27" spans="1:11" ht="15.6" x14ac:dyDescent="0.3">
      <c r="A27" s="27">
        <v>65</v>
      </c>
      <c r="B27" s="25">
        <v>2.99</v>
      </c>
      <c r="C27" s="25">
        <v>3.46</v>
      </c>
      <c r="D27" s="25">
        <v>4.0199999999999996</v>
      </c>
      <c r="E27" s="25">
        <v>4.6100000000000003</v>
      </c>
      <c r="F27" s="25">
        <v>5.5</v>
      </c>
      <c r="G27" s="25">
        <v>6.38</v>
      </c>
      <c r="H27" s="25">
        <v>7.55</v>
      </c>
      <c r="I27" s="25">
        <v>8.93</v>
      </c>
      <c r="J27" s="25">
        <v>11</v>
      </c>
      <c r="K27" s="25">
        <v>12.7</v>
      </c>
    </row>
    <row r="28" spans="1:11" ht="15.6" x14ac:dyDescent="0.3">
      <c r="A28" s="27">
        <v>70</v>
      </c>
      <c r="B28" s="25">
        <v>3.14</v>
      </c>
      <c r="C28" s="25">
        <v>3.65</v>
      </c>
      <c r="D28" s="25">
        <v>4.25</v>
      </c>
      <c r="E28" s="25">
        <v>4.88</v>
      </c>
      <c r="F28" s="25">
        <v>5.83</v>
      </c>
      <c r="G28" s="25">
        <v>6.78</v>
      </c>
      <c r="H28" s="25">
        <v>8.0500000000000007</v>
      </c>
      <c r="I28" s="25">
        <v>9.5500000000000007</v>
      </c>
      <c r="J28" s="25">
        <v>11.7</v>
      </c>
      <c r="K28" s="25">
        <v>13.7</v>
      </c>
    </row>
    <row r="29" spans="1:11" ht="15.6" x14ac:dyDescent="0.3">
      <c r="A29" s="27">
        <v>75</v>
      </c>
      <c r="B29" s="25">
        <v>3.3</v>
      </c>
      <c r="C29" s="25">
        <v>3.84</v>
      </c>
      <c r="D29" s="25">
        <v>4.4800000000000004</v>
      </c>
      <c r="E29" s="25">
        <v>5.15</v>
      </c>
      <c r="F29" s="25">
        <v>6.16</v>
      </c>
      <c r="G29" s="25">
        <v>7.18</v>
      </c>
      <c r="H29" s="25">
        <v>8.5500000000000007</v>
      </c>
      <c r="I29" s="25">
        <v>10.17</v>
      </c>
      <c r="J29" s="25">
        <v>12.5</v>
      </c>
      <c r="K29" s="25">
        <v>14.7</v>
      </c>
    </row>
    <row r="30" spans="1:11" ht="15.6" x14ac:dyDescent="0.3">
      <c r="A30" s="27">
        <v>80</v>
      </c>
      <c r="B30" s="25">
        <v>3.45</v>
      </c>
      <c r="C30" s="25">
        <v>4.0199999999999996</v>
      </c>
      <c r="D30" s="25">
        <v>4.7</v>
      </c>
      <c r="E30" s="25">
        <v>5.42</v>
      </c>
      <c r="F30" s="25">
        <v>6.49</v>
      </c>
      <c r="G30" s="25">
        <v>7.58</v>
      </c>
      <c r="H30" s="25">
        <v>9.06</v>
      </c>
      <c r="I30" s="25">
        <v>10.79</v>
      </c>
      <c r="J30" s="25">
        <v>13.4</v>
      </c>
      <c r="K30" s="25">
        <v>15.7</v>
      </c>
    </row>
    <row r="31" spans="1:11" ht="15.6" x14ac:dyDescent="0.3">
      <c r="A31" s="27">
        <v>85</v>
      </c>
      <c r="B31" s="25">
        <v>3.6</v>
      </c>
      <c r="C31" s="25">
        <v>4.2</v>
      </c>
      <c r="D31" s="25">
        <v>4.92</v>
      </c>
      <c r="E31" s="25">
        <v>5.69</v>
      </c>
      <c r="F31" s="25">
        <v>6.82</v>
      </c>
      <c r="G31" s="25">
        <v>7.98</v>
      </c>
      <c r="H31" s="25">
        <v>9.57</v>
      </c>
      <c r="I31" s="25">
        <v>11.41</v>
      </c>
      <c r="J31" s="25">
        <v>14.2</v>
      </c>
      <c r="K31" s="25">
        <v>16.8</v>
      </c>
    </row>
    <row r="32" spans="1:11" ht="15.6" x14ac:dyDescent="0.3">
      <c r="A32" s="27">
        <v>90</v>
      </c>
      <c r="B32" s="25">
        <v>3.75</v>
      </c>
      <c r="C32" s="25">
        <v>4.38</v>
      </c>
      <c r="D32" s="25">
        <v>5.14</v>
      </c>
      <c r="E32" s="25">
        <v>5.96</v>
      </c>
      <c r="F32" s="25">
        <v>7.15</v>
      </c>
      <c r="G32" s="25">
        <v>8.3800000000000008</v>
      </c>
      <c r="H32" s="25">
        <v>10.08</v>
      </c>
      <c r="I32" s="25">
        <v>12.04</v>
      </c>
      <c r="J32" s="25">
        <v>14.9</v>
      </c>
      <c r="K32" s="25">
        <v>17.7</v>
      </c>
    </row>
    <row r="33" spans="1:11" ht="15.6" x14ac:dyDescent="0.3">
      <c r="A33" s="27">
        <v>95</v>
      </c>
      <c r="B33" s="25">
        <v>3.9</v>
      </c>
      <c r="C33" s="25">
        <v>4.5599999999999996</v>
      </c>
      <c r="D33" s="25">
        <v>5.36</v>
      </c>
      <c r="E33" s="25">
        <v>6.23</v>
      </c>
      <c r="F33" s="25">
        <v>7.48</v>
      </c>
      <c r="G33" s="25">
        <v>8.7799999999999994</v>
      </c>
      <c r="H33" s="25">
        <v>10.59</v>
      </c>
      <c r="I33" s="25">
        <v>12.67</v>
      </c>
      <c r="J33" s="25">
        <v>15.6</v>
      </c>
      <c r="K33" s="25">
        <v>18.600000000000001</v>
      </c>
    </row>
    <row r="34" spans="1:11" ht="15.6" x14ac:dyDescent="0.3">
      <c r="A34" s="27">
        <v>100</v>
      </c>
      <c r="B34" s="25">
        <v>4.05</v>
      </c>
      <c r="C34" s="25">
        <v>4.74</v>
      </c>
      <c r="D34" s="25">
        <v>5.58</v>
      </c>
      <c r="E34" s="25">
        <v>6.5</v>
      </c>
      <c r="F34" s="25">
        <v>7.81</v>
      </c>
      <c r="G34" s="25">
        <v>9.18</v>
      </c>
      <c r="H34" s="25">
        <v>11.1</v>
      </c>
      <c r="I34" s="25">
        <v>13.3</v>
      </c>
      <c r="J34" s="25">
        <v>16.5</v>
      </c>
      <c r="K34" s="25">
        <v>19.600000000000001</v>
      </c>
    </row>
    <row r="35" spans="1:11" ht="15.6" x14ac:dyDescent="0.3">
      <c r="A35" s="27">
        <v>105</v>
      </c>
      <c r="B35" s="25">
        <v>4.2</v>
      </c>
      <c r="C35" s="25">
        <v>4.92</v>
      </c>
      <c r="D35" s="25">
        <v>5.8</v>
      </c>
      <c r="E35" s="25">
        <v>6.77</v>
      </c>
      <c r="F35" s="25">
        <v>8.14</v>
      </c>
      <c r="G35" s="25">
        <v>9.58</v>
      </c>
      <c r="H35" s="25">
        <v>11.61</v>
      </c>
      <c r="I35" s="25">
        <v>13.93</v>
      </c>
      <c r="J35" s="25">
        <v>17.2</v>
      </c>
      <c r="K35" s="25">
        <v>20.6</v>
      </c>
    </row>
    <row r="36" spans="1:11" ht="15.6" x14ac:dyDescent="0.3">
      <c r="A36" s="27">
        <v>110</v>
      </c>
      <c r="B36" s="25">
        <v>4.3499999999999996</v>
      </c>
      <c r="C36" s="25">
        <v>5.0999999999999996</v>
      </c>
      <c r="D36" s="25">
        <v>6.02</v>
      </c>
      <c r="E36" s="25">
        <v>7.04</v>
      </c>
      <c r="F36" s="25">
        <v>8.4700000000000006</v>
      </c>
      <c r="G36" s="25">
        <v>9.99</v>
      </c>
      <c r="H36" s="25">
        <v>12.12</v>
      </c>
      <c r="I36" s="25">
        <v>14.56</v>
      </c>
      <c r="J36" s="25">
        <v>18</v>
      </c>
      <c r="K36" s="25">
        <v>21.6</v>
      </c>
    </row>
    <row r="37" spans="1:11" ht="15.6" x14ac:dyDescent="0.3">
      <c r="A37" s="27">
        <v>115</v>
      </c>
      <c r="B37" s="25">
        <v>4.5</v>
      </c>
      <c r="C37" s="25">
        <v>5.28</v>
      </c>
      <c r="D37" s="25">
        <v>6.24</v>
      </c>
      <c r="E37" s="25">
        <v>7.31</v>
      </c>
      <c r="F37" s="25">
        <v>8.8000000000000007</v>
      </c>
      <c r="G37" s="25">
        <v>10.4</v>
      </c>
      <c r="H37" s="25">
        <v>12.63</v>
      </c>
      <c r="I37" s="25">
        <v>15.19</v>
      </c>
      <c r="J37" s="25">
        <v>18.8</v>
      </c>
      <c r="K37" s="25">
        <v>22.6</v>
      </c>
    </row>
    <row r="38" spans="1:11" ht="15.6" x14ac:dyDescent="0.3">
      <c r="A38" s="27">
        <v>120</v>
      </c>
      <c r="B38" s="25">
        <v>4.6500000000000004</v>
      </c>
      <c r="C38" s="25">
        <v>5.46</v>
      </c>
      <c r="D38" s="25">
        <v>6.46</v>
      </c>
      <c r="E38" s="25">
        <v>7.58</v>
      </c>
      <c r="F38" s="25">
        <v>9.1300000000000008</v>
      </c>
      <c r="G38" s="25">
        <v>10.81</v>
      </c>
      <c r="H38" s="25">
        <v>13.14</v>
      </c>
      <c r="I38" s="25">
        <v>15.87</v>
      </c>
      <c r="J38" s="25">
        <v>19.5</v>
      </c>
      <c r="K38" s="25">
        <v>23.6</v>
      </c>
    </row>
    <row r="39" spans="1:11" ht="15.6" x14ac:dyDescent="0.3">
      <c r="A39" s="27">
        <v>125</v>
      </c>
      <c r="B39" s="25">
        <v>4.8</v>
      </c>
      <c r="C39" s="25">
        <v>5.64</v>
      </c>
      <c r="D39" s="25">
        <v>6.68</v>
      </c>
      <c r="E39" s="25">
        <v>7.85</v>
      </c>
      <c r="F39" s="25">
        <v>9.4600000000000009</v>
      </c>
      <c r="G39" s="25">
        <v>11.22</v>
      </c>
      <c r="H39" s="25">
        <v>13.65</v>
      </c>
      <c r="I39" s="25">
        <v>16.45</v>
      </c>
      <c r="J39" s="25">
        <v>20.2</v>
      </c>
      <c r="K39" s="25">
        <v>24.6</v>
      </c>
    </row>
    <row r="40" spans="1:11" ht="15.6" x14ac:dyDescent="0.3">
      <c r="A40" s="27">
        <v>130</v>
      </c>
      <c r="B40" s="25">
        <v>4.95</v>
      </c>
      <c r="C40" s="25">
        <v>5.82</v>
      </c>
      <c r="D40" s="25">
        <v>6.9</v>
      </c>
      <c r="E40" s="25">
        <v>8.1199999999999992</v>
      </c>
      <c r="F40" s="25">
        <v>9.7899999999999991</v>
      </c>
      <c r="G40" s="25">
        <v>11.63</v>
      </c>
      <c r="H40" s="25">
        <v>14.16</v>
      </c>
      <c r="I40" s="25">
        <v>17.079999999999998</v>
      </c>
      <c r="J40" s="25">
        <v>21</v>
      </c>
      <c r="K40" s="25">
        <v>25.5</v>
      </c>
    </row>
    <row r="41" spans="1:11" ht="15.6" x14ac:dyDescent="0.3">
      <c r="A41" s="27">
        <v>135</v>
      </c>
      <c r="B41" s="25">
        <v>5.0999999999999996</v>
      </c>
      <c r="C41" s="25">
        <v>6</v>
      </c>
      <c r="D41" s="25">
        <v>7.12</v>
      </c>
      <c r="E41" s="25">
        <v>8.39</v>
      </c>
      <c r="F41" s="25">
        <v>10.119999999999999</v>
      </c>
      <c r="G41" s="25">
        <v>12.04</v>
      </c>
      <c r="H41" s="25">
        <v>14.67</v>
      </c>
      <c r="I41" s="25">
        <v>17.71</v>
      </c>
      <c r="J41" s="25">
        <v>21.9</v>
      </c>
      <c r="K41" s="25">
        <v>26.5</v>
      </c>
    </row>
    <row r="42" spans="1:11" ht="15.6" x14ac:dyDescent="0.3">
      <c r="A42" s="27">
        <v>140</v>
      </c>
      <c r="B42" s="25">
        <v>5.25</v>
      </c>
      <c r="C42" s="25">
        <v>6.18</v>
      </c>
      <c r="D42" s="25">
        <v>7.34</v>
      </c>
      <c r="E42" s="25">
        <v>8.66</v>
      </c>
      <c r="F42" s="25">
        <v>10.45</v>
      </c>
      <c r="G42" s="25">
        <v>12.45</v>
      </c>
      <c r="H42" s="25">
        <v>15.18</v>
      </c>
      <c r="I42" s="25">
        <v>18.34</v>
      </c>
      <c r="J42" s="25">
        <v>22.7</v>
      </c>
      <c r="K42" s="25">
        <v>27.5</v>
      </c>
    </row>
    <row r="43" spans="1:11" ht="15.6" x14ac:dyDescent="0.3">
      <c r="A43" s="27">
        <v>145</v>
      </c>
      <c r="B43" s="25">
        <v>5.39</v>
      </c>
      <c r="C43" s="25">
        <v>6.36</v>
      </c>
      <c r="D43" s="25">
        <v>7.56</v>
      </c>
      <c r="E43" s="25">
        <v>8.93</v>
      </c>
      <c r="F43" s="25">
        <v>10.77</v>
      </c>
      <c r="G43" s="25">
        <v>12.86</v>
      </c>
      <c r="H43" s="25">
        <v>15.69</v>
      </c>
      <c r="I43" s="25">
        <v>18.97</v>
      </c>
      <c r="J43" s="25">
        <v>23.4</v>
      </c>
      <c r="K43" s="25">
        <v>28.4</v>
      </c>
    </row>
    <row r="44" spans="1:11" ht="15.6" x14ac:dyDescent="0.3">
      <c r="A44" s="27">
        <v>150</v>
      </c>
      <c r="B44" s="25">
        <v>5.53</v>
      </c>
      <c r="C44" s="25">
        <v>6.54</v>
      </c>
      <c r="D44" s="25">
        <v>7.78</v>
      </c>
      <c r="E44" s="25">
        <v>9.1999999999999993</v>
      </c>
      <c r="F44" s="25">
        <v>11.09</v>
      </c>
      <c r="G44" s="25">
        <v>13.27</v>
      </c>
      <c r="H44" s="25">
        <v>16.2</v>
      </c>
      <c r="I44" s="25">
        <v>19.600000000000001</v>
      </c>
      <c r="J44" s="25">
        <v>24.2</v>
      </c>
      <c r="K44" s="25">
        <v>29.4</v>
      </c>
    </row>
    <row r="45" spans="1:11" ht="15.6" x14ac:dyDescent="0.3">
      <c r="A45" s="27">
        <v>155</v>
      </c>
      <c r="B45" s="25">
        <v>5.67</v>
      </c>
      <c r="C45" s="25">
        <v>6.72</v>
      </c>
      <c r="D45" s="25">
        <v>8</v>
      </c>
      <c r="E45" s="25">
        <v>9.4700000000000006</v>
      </c>
      <c r="F45" s="25">
        <v>11.41</v>
      </c>
      <c r="G45" s="25">
        <v>13.68</v>
      </c>
      <c r="H45" s="25">
        <v>16.71</v>
      </c>
      <c r="I45" s="25">
        <v>20.23</v>
      </c>
      <c r="J45" s="25">
        <v>25</v>
      </c>
      <c r="K45" s="25">
        <v>30.4</v>
      </c>
    </row>
    <row r="46" spans="1:11" ht="15.6" x14ac:dyDescent="0.3">
      <c r="A46" s="27">
        <v>160</v>
      </c>
      <c r="B46" s="25">
        <v>5.81</v>
      </c>
      <c r="C46" s="25">
        <v>6.9</v>
      </c>
      <c r="D46" s="25">
        <v>8.2200000000000006</v>
      </c>
      <c r="E46" s="25">
        <v>9.74</v>
      </c>
      <c r="F46" s="25">
        <v>11.73</v>
      </c>
      <c r="G46" s="25">
        <v>14.09</v>
      </c>
      <c r="H46" s="25">
        <v>17.22</v>
      </c>
      <c r="I46" s="25">
        <v>20.86</v>
      </c>
      <c r="J46" s="25">
        <v>25.6</v>
      </c>
      <c r="K46" s="25">
        <v>31.3</v>
      </c>
    </row>
    <row r="47" spans="1:11" ht="15.6" x14ac:dyDescent="0.3">
      <c r="A47" s="27">
        <v>165</v>
      </c>
      <c r="B47" s="25">
        <v>5.95</v>
      </c>
      <c r="C47" s="25">
        <v>7.07</v>
      </c>
      <c r="D47" s="25">
        <v>8.44</v>
      </c>
      <c r="E47" s="25">
        <v>10.01</v>
      </c>
      <c r="F47" s="25">
        <v>12.05</v>
      </c>
      <c r="G47" s="25">
        <v>14.5</v>
      </c>
      <c r="H47" s="25">
        <v>17.73</v>
      </c>
      <c r="I47" s="25">
        <v>21.49</v>
      </c>
      <c r="J47" s="25">
        <v>26.4</v>
      </c>
      <c r="K47" s="25">
        <v>32.5</v>
      </c>
    </row>
    <row r="48" spans="1:11" ht="15.6" x14ac:dyDescent="0.3">
      <c r="A48" s="27">
        <v>170</v>
      </c>
      <c r="B48" s="25">
        <v>6.09</v>
      </c>
      <c r="C48" s="25">
        <v>7.23</v>
      </c>
      <c r="D48" s="25">
        <v>8.66</v>
      </c>
      <c r="E48" s="25">
        <v>10.28</v>
      </c>
      <c r="F48" s="25">
        <v>12.37</v>
      </c>
      <c r="G48" s="25">
        <v>14.91</v>
      </c>
      <c r="H48" s="25">
        <v>18.239999999999998</v>
      </c>
      <c r="I48" s="25">
        <v>22.12</v>
      </c>
      <c r="J48" s="25">
        <v>27.1</v>
      </c>
      <c r="K48" s="25">
        <v>33.6</v>
      </c>
    </row>
    <row r="49" spans="1:11" ht="15.6" x14ac:dyDescent="0.3">
      <c r="A49" s="27">
        <v>175</v>
      </c>
      <c r="B49" s="25">
        <v>6.23</v>
      </c>
      <c r="C49" s="25">
        <v>7.39</v>
      </c>
      <c r="D49" s="25">
        <v>8.8800000000000008</v>
      </c>
      <c r="E49" s="25">
        <v>10.55</v>
      </c>
      <c r="F49" s="25">
        <v>12.69</v>
      </c>
      <c r="G49" s="25">
        <v>15.32</v>
      </c>
      <c r="H49" s="25">
        <v>18.75</v>
      </c>
      <c r="I49" s="25">
        <v>22.75</v>
      </c>
      <c r="J49" s="25">
        <v>27.9</v>
      </c>
      <c r="K49" s="25">
        <v>34.700000000000003</v>
      </c>
    </row>
    <row r="50" spans="1:11" ht="15.6" x14ac:dyDescent="0.3">
      <c r="A50" s="27">
        <v>180</v>
      </c>
      <c r="B50" s="25">
        <v>6.37</v>
      </c>
      <c r="C50" s="25">
        <v>7.55</v>
      </c>
      <c r="D50" s="25">
        <v>9.1</v>
      </c>
      <c r="E50" s="25">
        <v>10.82</v>
      </c>
      <c r="F50" s="25">
        <v>13.01</v>
      </c>
      <c r="G50" s="25">
        <v>15.73</v>
      </c>
      <c r="H50" s="25">
        <v>19.260000000000002</v>
      </c>
      <c r="I50" s="25">
        <v>23.38</v>
      </c>
      <c r="J50" s="25">
        <v>28.5</v>
      </c>
      <c r="K50" s="25">
        <v>35.4</v>
      </c>
    </row>
    <row r="51" spans="1:11" ht="15.6" x14ac:dyDescent="0.3">
      <c r="A51" s="27">
        <v>185</v>
      </c>
      <c r="B51" s="25">
        <v>6.5</v>
      </c>
      <c r="C51" s="25">
        <v>7.71</v>
      </c>
      <c r="D51" s="25">
        <v>9.32</v>
      </c>
      <c r="E51" s="25">
        <v>11.09</v>
      </c>
      <c r="F51" s="25">
        <v>13.33</v>
      </c>
      <c r="G51" s="25">
        <v>16.14</v>
      </c>
      <c r="H51" s="25">
        <v>19.77</v>
      </c>
      <c r="I51" s="25">
        <v>24.01</v>
      </c>
      <c r="J51" s="25">
        <v>29.4</v>
      </c>
      <c r="K51" s="25">
        <v>36.6</v>
      </c>
    </row>
    <row r="52" spans="1:11" ht="15.6" x14ac:dyDescent="0.3">
      <c r="A52" s="27">
        <v>190</v>
      </c>
      <c r="B52" s="25">
        <v>6.63</v>
      </c>
      <c r="C52" s="25">
        <v>7.87</v>
      </c>
      <c r="D52" s="25">
        <v>9.5399999999999991</v>
      </c>
      <c r="E52" s="25">
        <v>11.36</v>
      </c>
      <c r="F52" s="25">
        <v>13.65</v>
      </c>
      <c r="G52" s="25">
        <v>16.55</v>
      </c>
      <c r="H52" s="25">
        <v>20.28</v>
      </c>
      <c r="I52" s="25">
        <v>24.64</v>
      </c>
      <c r="J52" s="25">
        <v>30.1</v>
      </c>
      <c r="K52" s="25">
        <v>37.6</v>
      </c>
    </row>
    <row r="53" spans="1:11" ht="15.6" x14ac:dyDescent="0.3">
      <c r="A53" s="27">
        <v>195</v>
      </c>
      <c r="B53" s="25">
        <v>6.76</v>
      </c>
      <c r="C53" s="25">
        <v>8.0299999999999994</v>
      </c>
      <c r="D53" s="25">
        <v>9.75</v>
      </c>
      <c r="E53" s="25">
        <v>11.63</v>
      </c>
      <c r="F53" s="25">
        <v>13.97</v>
      </c>
      <c r="G53" s="25">
        <v>16.96</v>
      </c>
      <c r="H53" s="25">
        <v>20.79</v>
      </c>
      <c r="I53" s="25">
        <v>25.27</v>
      </c>
      <c r="J53" s="25">
        <v>30.9</v>
      </c>
      <c r="K53" s="25">
        <v>38.299999999999997</v>
      </c>
    </row>
    <row r="54" spans="1:11" ht="15.6" x14ac:dyDescent="0.3">
      <c r="A54" s="27">
        <v>200</v>
      </c>
      <c r="B54" s="25">
        <v>6.89</v>
      </c>
      <c r="C54" s="25">
        <v>8.19</v>
      </c>
      <c r="D54" s="25">
        <v>9.9600000000000009</v>
      </c>
      <c r="E54" s="25">
        <v>11.9</v>
      </c>
      <c r="F54" s="25">
        <v>14.3</v>
      </c>
      <c r="G54" s="25">
        <v>17.399999999999999</v>
      </c>
      <c r="H54" s="25">
        <v>21.3</v>
      </c>
      <c r="I54" s="25">
        <v>25.9</v>
      </c>
      <c r="J54" s="25">
        <v>31.8</v>
      </c>
      <c r="K54" s="25">
        <v>39.5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1"/>
  <sheetViews>
    <sheetView workbookViewId="0"/>
  </sheetViews>
  <sheetFormatPr defaultRowHeight="14.4" x14ac:dyDescent="0.3"/>
  <cols>
    <col min="1" max="1" width="58" customWidth="1"/>
    <col min="2" max="10" width="13" customWidth="1"/>
  </cols>
  <sheetData>
    <row r="1" spans="1:10" ht="15.6" x14ac:dyDescent="0.3">
      <c r="A1" s="27" t="s">
        <v>117</v>
      </c>
    </row>
    <row r="2" spans="1:10" ht="31.2" x14ac:dyDescent="0.3">
      <c r="A2" s="28" t="s">
        <v>118</v>
      </c>
      <c r="B2" s="28" t="s">
        <v>119</v>
      </c>
      <c r="C2" s="28" t="s">
        <v>120</v>
      </c>
      <c r="D2" s="28" t="s">
        <v>121</v>
      </c>
      <c r="E2" s="28" t="s">
        <v>122</v>
      </c>
      <c r="F2" s="28" t="s">
        <v>123</v>
      </c>
      <c r="G2" s="28" t="s">
        <v>124</v>
      </c>
      <c r="H2" s="28" t="s">
        <v>125</v>
      </c>
      <c r="I2" s="28" t="s">
        <v>126</v>
      </c>
      <c r="J2" s="28" t="s">
        <v>52</v>
      </c>
    </row>
    <row r="3" spans="1:10" ht="15.6" x14ac:dyDescent="0.3">
      <c r="A3" s="29" t="s">
        <v>127</v>
      </c>
      <c r="B3" s="29">
        <v>70</v>
      </c>
      <c r="C3" s="29">
        <v>0</v>
      </c>
      <c r="D3" s="29">
        <v>5</v>
      </c>
      <c r="E3" s="29">
        <v>0</v>
      </c>
      <c r="F3" s="29">
        <v>0.2</v>
      </c>
      <c r="G3" s="29">
        <v>0.2</v>
      </c>
      <c r="H3" s="29">
        <v>50</v>
      </c>
      <c r="I3" s="29">
        <v>50</v>
      </c>
      <c r="J3" s="29">
        <v>24</v>
      </c>
    </row>
    <row r="4" spans="1:10" ht="15.6" x14ac:dyDescent="0.3">
      <c r="A4" s="29" t="s">
        <v>128</v>
      </c>
      <c r="B4" s="29">
        <v>110</v>
      </c>
      <c r="C4" s="29">
        <v>0</v>
      </c>
      <c r="D4" s="29">
        <v>8.1</v>
      </c>
      <c r="E4" s="29">
        <v>0</v>
      </c>
      <c r="F4" s="29">
        <v>0.3</v>
      </c>
      <c r="G4" s="29">
        <v>0.3</v>
      </c>
      <c r="H4" s="29">
        <v>300</v>
      </c>
      <c r="I4" s="29">
        <v>300</v>
      </c>
      <c r="J4" s="29">
        <v>24</v>
      </c>
    </row>
    <row r="5" spans="1:10" ht="15.6" x14ac:dyDescent="0.3">
      <c r="A5" s="29" t="s">
        <v>129</v>
      </c>
      <c r="B5" s="29">
        <v>120</v>
      </c>
      <c r="C5" s="29">
        <v>0</v>
      </c>
      <c r="D5" s="29">
        <v>8.6999999999999993</v>
      </c>
      <c r="E5" s="29">
        <v>0</v>
      </c>
      <c r="F5" s="29">
        <v>0.3</v>
      </c>
      <c r="G5" s="29">
        <v>0.3</v>
      </c>
      <c r="H5" s="29">
        <v>300</v>
      </c>
      <c r="I5" s="29">
        <v>300</v>
      </c>
      <c r="J5" s="29">
        <v>24</v>
      </c>
    </row>
    <row r="6" spans="1:10" ht="15.6" x14ac:dyDescent="0.3">
      <c r="A6" s="29" t="s">
        <v>130</v>
      </c>
      <c r="B6" s="29">
        <v>130</v>
      </c>
      <c r="C6" s="29">
        <v>50</v>
      </c>
      <c r="D6" s="29">
        <v>8.1999999999999993</v>
      </c>
      <c r="E6" s="29">
        <v>4.5</v>
      </c>
      <c r="F6" s="29">
        <v>0.2</v>
      </c>
      <c r="G6" s="29">
        <v>0.14000000000000001</v>
      </c>
      <c r="H6" s="29">
        <v>100</v>
      </c>
      <c r="I6" s="29">
        <v>60</v>
      </c>
      <c r="J6" s="29">
        <v>24</v>
      </c>
    </row>
    <row r="7" spans="1:10" ht="15.6" x14ac:dyDescent="0.3">
      <c r="A7" s="29" t="s">
        <v>131</v>
      </c>
      <c r="B7" s="29">
        <v>160</v>
      </c>
      <c r="C7" s="29">
        <v>65</v>
      </c>
      <c r="D7" s="29">
        <v>10.3</v>
      </c>
      <c r="E7" s="29">
        <v>5.7</v>
      </c>
      <c r="F7" s="29">
        <v>0.3</v>
      </c>
      <c r="G7" s="29">
        <v>0.2</v>
      </c>
      <c r="H7" s="29">
        <v>300</v>
      </c>
      <c r="I7" s="29">
        <v>200</v>
      </c>
      <c r="J7" s="29">
        <v>24</v>
      </c>
    </row>
    <row r="8" spans="1:10" ht="15.6" x14ac:dyDescent="0.3">
      <c r="A8" s="29" t="s">
        <v>7</v>
      </c>
      <c r="B8" s="29">
        <v>180</v>
      </c>
      <c r="C8" s="29">
        <v>70</v>
      </c>
      <c r="D8" s="29">
        <v>11.6</v>
      </c>
      <c r="E8" s="29">
        <v>6.5</v>
      </c>
      <c r="F8" s="29">
        <v>0.3</v>
      </c>
      <c r="G8" s="29">
        <v>0.2</v>
      </c>
      <c r="H8" s="29">
        <v>300</v>
      </c>
      <c r="I8" s="29">
        <v>200</v>
      </c>
      <c r="J8" s="29">
        <v>24</v>
      </c>
    </row>
    <row r="9" spans="1:10" ht="15.6" x14ac:dyDescent="0.3">
      <c r="A9" s="30" t="s">
        <v>132</v>
      </c>
      <c r="B9" s="30"/>
      <c r="C9" s="30"/>
      <c r="D9" s="30"/>
      <c r="E9" s="30"/>
      <c r="F9" s="30"/>
      <c r="G9" s="30"/>
      <c r="H9" s="30"/>
      <c r="I9" s="30"/>
      <c r="J9" s="30"/>
    </row>
    <row r="11" spans="1:10" x14ac:dyDescent="0.3">
      <c r="A11" s="26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15</vt:i4>
      </vt:variant>
    </vt:vector>
  </HeadingPairs>
  <TitlesOfParts>
    <vt:vector size="20" baseType="lpstr">
      <vt:lpstr>Расчёт</vt:lpstr>
      <vt:lpstr>α</vt:lpstr>
      <vt:lpstr>Табл. Б.2</vt:lpstr>
      <vt:lpstr>Табл. Б.1</vt:lpstr>
      <vt:lpstr>Табл. А.2</vt:lpstr>
      <vt:lpstr>A2_B</vt:lpstr>
      <vt:lpstr>A2_C</vt:lpstr>
      <vt:lpstr>A2_D</vt:lpstr>
      <vt:lpstr>A2_E</vt:lpstr>
      <vt:lpstr>A2_F</vt:lpstr>
      <vt:lpstr>A2_G</vt:lpstr>
      <vt:lpstr>A2_H</vt:lpstr>
      <vt:lpstr>A2_I</vt:lpstr>
      <vt:lpstr>A2_IMYA</vt:lpstr>
      <vt:lpstr>A2_J</vt:lpstr>
      <vt:lpstr>B1_N</vt:lpstr>
      <vt:lpstr>B1_P</vt:lpstr>
      <vt:lpstr>B1_T</vt:lpstr>
      <vt:lpstr>B2_A</vt:lpstr>
      <vt:lpstr>B2_NP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Даниил</cp:lastModifiedBy>
  <dcterms:created xsi:type="dcterms:W3CDTF">2026-10-19T11:39:38Z</dcterms:created>
  <dcterms:modified xsi:type="dcterms:W3CDTF">2026-10-19T11:40:09Z</dcterms:modified>
</cp:coreProperties>
</file>